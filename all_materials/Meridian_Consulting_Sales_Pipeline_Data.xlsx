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Closed_Deals" sheetId="2" state="visible" r:id="rId4"/>
    <sheet name="Open_Pipeline" sheetId="3" state="visible" r:id="rId5"/>
    <sheet name="Clients" sheetId="4" state="visible" r:id="rId6"/>
    <sheet name="Sales_Reps" sheetId="5" state="visible" r:id="rId7"/>
    <sheet name="KPI_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<sst xmlns="http://schemas.openxmlformats.org/spreadsheetml/2006/main" count="10963" uniqueCount="1667">
  <si>
    <t xml:space="preserve">Meridian Consulting Group</t>
  </si>
  <si>
    <t xml:space="preserve">Simulated Sales History &amp; Pipeline Dataset — for Dashboard Analysis Exercise</t>
  </si>
  <si>
    <t xml:space="preserve">Business Context</t>
  </si>
  <si>
    <t xml:space="preserve">Company</t>
  </si>
  <si>
    <t xml:space="preserve">Meridian Consulting Group (fictitious) — a mid-size, project-based management &amp; technology consulting firm operating across 4 regions and 8 service lines.</t>
  </si>
  <si>
    <t xml:space="preserve">Business model</t>
  </si>
  <si>
    <t xml:space="preserve">Project-based engagements (not subscriptions). "Churn" here means a client that has NOT come back for a repeat engagement within a reasonable window after their last project ended — see the Clients sheet's Client_Status column.</t>
  </si>
  <si>
    <t xml:space="preserve">Data scope</t>
  </si>
  <si>
    <t xml:space="preserve">760 historical opportunities closed over the last 3 years (Won/Lost), plus 150 currently OPEN pipeline opportunities created over the last 2 years and not yet closed.</t>
  </si>
  <si>
    <t xml:space="preserve">Your Task</t>
  </si>
  <si>
    <t xml:space="preserve">Objective</t>
  </si>
  <si>
    <t xml:space="preserve">Build a dashboard from this data (Excel, Power BI, Tableau, or similar) and produce a short, data-backed recommendation covering the three questions below.</t>
  </si>
  <si>
    <t xml:space="preserve">Q1 — Win Rate</t>
  </si>
  <si>
    <t xml:space="preserve">What is our win rate overall and by segment (region, service line, lead source, sales rep)? What should our strategy be to improve win %?</t>
  </si>
  <si>
    <t xml:space="preserve">Q2 — Churn</t>
  </si>
  <si>
    <t xml:space="preserve">What share of clients who have won business with us come back for repeat engagements vs. go quiet ("churn")? What should we do to reduce churn / increase repeat business?</t>
  </si>
  <si>
    <t xml:space="preserve">Q3 — Pipeline Generation</t>
  </si>
  <si>
    <t xml:space="preserve">How healthy is our open pipeline (volume, value, weighted value, coverage by stage)? What should we do to generate more/better pipeline?</t>
  </si>
  <si>
    <t xml:space="preserve">Important Methodology Note</t>
  </si>
  <si>
    <t xml:space="preserve">How this data was built</t>
  </si>
  <si>
    <t xml:space="preserve">This dataset is randomly simulated for training purposes. Category assignments (region, service line, lead source, rep) were drawn independently at random — no segment was deliberately scripted to win more, churn more, or perform differently. Real operational data may or may not show similar patterns.</t>
  </si>
  <si>
    <t xml:space="preserve">Implication for analysis</t>
  </si>
  <si>
    <t xml:space="preserve">Any differences you observe between segments (e.g. one lead source appears to convert better) may be genuine signal OR sampling noise given the sample sizes involved. Good analysis should sanity-check apparent patterns (sample size, consistency over time) before building a strategy recommendation on them — that critical-thinking step is itself part of the exercise.</t>
  </si>
  <si>
    <t xml:space="preserve">Workbook Contents</t>
  </si>
  <si>
    <t xml:space="preserve">Instructions</t>
  </si>
  <si>
    <t xml:space="preserve">This sheet.</t>
  </si>
  <si>
    <t xml:space="preserve">Closed_Deals</t>
  </si>
  <si>
    <t xml:space="preserve">760 historical opportunities (Won/Lost) closed over the last 3 years. One row per opportunity. Core table for win-rate and revenue analysis.</t>
  </si>
  <si>
    <t xml:space="preserve">Open_Pipeline</t>
  </si>
  <si>
    <t xml:space="preserve">150 currently open opportunities created over the last 2 years, not yet closed. Core table for pipeline health / generation analysis.</t>
  </si>
  <si>
    <t xml:space="preserve">Clients</t>
  </si>
  <si>
    <t xml:space="preserve">One row per client (260), with formulas rolling up their closed-deal and open-pipeline history, including a computed Client_Status (Active / At Risk / Churned / No Won Business) for churn analysis.</t>
  </si>
  <si>
    <t xml:space="preserve">Sales_Reps</t>
  </si>
  <si>
    <t xml:space="preserve">One row per sales rep (24), with formulas rolling up their win rate, revenue, average sales cycle, and open pipeline.</t>
  </si>
  <si>
    <t xml:space="preserve">KPI_Summary</t>
  </si>
  <si>
    <t xml:space="preserve">Headline KPIs and pre-built breakdown tables (by service line, region, lead source, pipeline stage, loss reason, client status) — a starting point for your dashboard, all driven by formulas so they recalculate if the underlying data changes.</t>
  </si>
  <si>
    <t xml:space="preserve">Data Dictionary — Closed_Deals</t>
  </si>
  <si>
    <t xml:space="preserve">Deal_ID</t>
  </si>
  <si>
    <t xml:space="preserve">Unique opportunity identifier.</t>
  </si>
  <si>
    <t xml:space="preserve">Client_ID / Client_Name / Industry / Region</t>
  </si>
  <si>
    <t xml:space="preserve">The client and its attributes.</t>
  </si>
  <si>
    <t xml:space="preserve">Service_Line</t>
  </si>
  <si>
    <t xml:space="preserve">Which of the 8 consulting service lines the opportunity was for.</t>
  </si>
  <si>
    <t xml:space="preserve">Lead_Source</t>
  </si>
  <si>
    <t xml:space="preserve">How the opportunity originated (referral, RFP, outbound, etc.).</t>
  </si>
  <si>
    <t xml:space="preserve">Sales_Rep_ID / Sales_Rep_Name</t>
  </si>
  <si>
    <t xml:space="preserve">Owning sales rep.</t>
  </si>
  <si>
    <t xml:space="preserve">Created_Date / Closed_Date</t>
  </si>
  <si>
    <t xml:space="preserve">When the opportunity was opened and when it closed (Won or Lost).</t>
  </si>
  <si>
    <t xml:space="preserve">Sales_Cycle_Days</t>
  </si>
  <si>
    <t xml:space="preserve">Formula: Closed_Date − Created_Date.</t>
  </si>
  <si>
    <t xml:space="preserve">Deal_Value_USD</t>
  </si>
  <si>
    <t xml:space="preserve">Total contract value proposed.</t>
  </si>
  <si>
    <t xml:space="preserve">Outcome</t>
  </si>
  <si>
    <t xml:space="preserve">Won or Lost.</t>
  </si>
  <si>
    <t xml:space="preserve">Loss_Reason</t>
  </si>
  <si>
    <t xml:space="preserve">Populated only when Outcome = Lost.</t>
  </si>
  <si>
    <t xml:space="preserve">Project_Start_Date / Project_Duration_Months</t>
  </si>
  <si>
    <t xml:space="preserve">Populated only when Outcome = Won.</t>
  </si>
  <si>
    <t xml:space="preserve">Project_End_Date</t>
  </si>
  <si>
    <t xml:space="preserve">Formula: Project_Start_Date + Project_Duration_Months (via EDATE); used by the Clients sheet to detect repeat business / churn.</t>
  </si>
  <si>
    <t xml:space="preserve">Data Dictionary — Open_Pipeline</t>
  </si>
  <si>
    <t xml:space="preserve">Opportunity_ID</t>
  </si>
  <si>
    <t xml:space="preserve">Unique open-opportunity identifier.</t>
  </si>
  <si>
    <t xml:space="preserve">Client/Industry/Region/Service_Line/Lead_Source/Sales_Rep</t>
  </si>
  <si>
    <t xml:space="preserve">Same meaning as Closed_Deals.</t>
  </si>
  <si>
    <t xml:space="preserve">Created_Date</t>
  </si>
  <si>
    <t xml:space="preserve">When the opportunity was opened (still open today).</t>
  </si>
  <si>
    <t xml:space="preserve">Stage</t>
  </si>
  <si>
    <t xml:space="preserve">Current pipeline stage: Prospecting, Qualification, Proposal/Solutioning, Negotiation.</t>
  </si>
  <si>
    <t xml:space="preserve">Stage_Probability</t>
  </si>
  <si>
    <t xml:space="preserve">Estimated probability of winning, based on stage.</t>
  </si>
  <si>
    <t xml:space="preserve">Proposed contract value.</t>
  </si>
  <si>
    <t xml:space="preserve">Weighted_Pipeline_Value</t>
  </si>
  <si>
    <t xml:space="preserve">Formula: Deal_Value_USD × Stage_Probability.</t>
  </si>
  <si>
    <t xml:space="preserve">Expected_Close_Date</t>
  </si>
  <si>
    <t xml:space="preserve">Forecast close date.</t>
  </si>
  <si>
    <t xml:space="preserve">Age_In_Pipeline_Days</t>
  </si>
  <si>
    <t xml:space="preserve">Formula: today − Created_Date.</t>
  </si>
  <si>
    <t xml:space="preserve">Days_To_Expected_Close</t>
  </si>
  <si>
    <t xml:space="preserve">Formula: Expected_Close_Date − today.</t>
  </si>
  <si>
    <t xml:space="preserve">Client_ID</t>
  </si>
  <si>
    <t xml:space="preserve">Client_Name</t>
  </si>
  <si>
    <t xml:space="preserve">Industry</t>
  </si>
  <si>
    <t xml:space="preserve">Region</t>
  </si>
  <si>
    <t xml:space="preserve">Sales_Rep_ID</t>
  </si>
  <si>
    <t xml:space="preserve">Sales_Rep_Name</t>
  </si>
  <si>
    <t xml:space="preserve">Closed_Date</t>
  </si>
  <si>
    <t xml:space="preserve">Project_Start_Date</t>
  </si>
  <si>
    <t xml:space="preserve">Project_Duration_Months</t>
  </si>
  <si>
    <t xml:space="preserve">CD-00001</t>
  </si>
  <si>
    <t xml:space="preserve">CLI-0086</t>
  </si>
  <si>
    <t xml:space="preserve">Anchor Motors</t>
  </si>
  <si>
    <t xml:space="preserve">Healthcare</t>
  </si>
  <si>
    <t xml:space="preserve">LATAM</t>
  </si>
  <si>
    <t xml:space="preserve">Risk &amp; Compliance</t>
  </si>
  <si>
    <t xml:space="preserve">Outbound Prospecting</t>
  </si>
  <si>
    <t xml:space="preserve">REP-016</t>
  </si>
  <si>
    <t xml:space="preserve">Nikolai Khan</t>
  </si>
  <si>
    <t xml:space="preserve">Lost</t>
  </si>
  <si>
    <t xml:space="preserve">Budget Cut</t>
  </si>
  <si>
    <t xml:space="preserve">CD-00002</t>
  </si>
  <si>
    <t xml:space="preserve">CLI-0138</t>
  </si>
  <si>
    <t xml:space="preserve">Apex Materials</t>
  </si>
  <si>
    <t xml:space="preserve">Manufacturing</t>
  </si>
  <si>
    <t xml:space="preserve">North America</t>
  </si>
  <si>
    <t xml:space="preserve">Data &amp; Analytics</t>
  </si>
  <si>
    <t xml:space="preserve">Partner Referral</t>
  </si>
  <si>
    <t xml:space="preserve">REP-009</t>
  </si>
  <si>
    <t xml:space="preserve">Ahmed Petrov</t>
  </si>
  <si>
    <t xml:space="preserve">Lost to Competitor</t>
  </si>
  <si>
    <t xml:space="preserve">CD-00003</t>
  </si>
  <si>
    <t xml:space="preserve">CLI-0174</t>
  </si>
  <si>
    <t xml:space="preserve">Granite Dynamics</t>
  </si>
  <si>
    <t xml:space="preserve">Technology</t>
  </si>
  <si>
    <t xml:space="preserve">EMEA</t>
  </si>
  <si>
    <t xml:space="preserve">Technology Consulting</t>
  </si>
  <si>
    <t xml:space="preserve">Inbound Marketing</t>
  </si>
  <si>
    <t xml:space="preserve">Scope Mismatch</t>
  </si>
  <si>
    <t xml:space="preserve">CD-00004</t>
  </si>
  <si>
    <t xml:space="preserve">CLI-0132</t>
  </si>
  <si>
    <t xml:space="preserve">Blue Telecom</t>
  </si>
  <si>
    <t xml:space="preserve">REP-004</t>
  </si>
  <si>
    <t xml:space="preserve">Wei Müller</t>
  </si>
  <si>
    <t xml:space="preserve">Went with In-house Team</t>
  </si>
  <si>
    <t xml:space="preserve">CD-00005</t>
  </si>
  <si>
    <t xml:space="preserve">CLI-0229</t>
  </si>
  <si>
    <t xml:space="preserve">Harbor Foods</t>
  </si>
  <si>
    <t xml:space="preserve">HR &amp; Change Management</t>
  </si>
  <si>
    <t xml:space="preserve">REP-014</t>
  </si>
  <si>
    <t xml:space="preserve">Miguel Hassan</t>
  </si>
  <si>
    <t xml:space="preserve">Won</t>
  </si>
  <si>
    <t xml:space="preserve">CD-00006</t>
  </si>
  <si>
    <t xml:space="preserve">CLI-0023</t>
  </si>
  <si>
    <t xml:space="preserve">Falcon Networks</t>
  </si>
  <si>
    <t xml:space="preserve">Public Sector</t>
  </si>
  <si>
    <t xml:space="preserve">Strategy Consulting</t>
  </si>
  <si>
    <t xml:space="preserve">RFP/Tender</t>
  </si>
  <si>
    <t xml:space="preserve">REP-005</t>
  </si>
  <si>
    <t xml:space="preserve">Grace Lee</t>
  </si>
  <si>
    <t xml:space="preserve">CD-00007</t>
  </si>
  <si>
    <t xml:space="preserve">CLI-0247</t>
  </si>
  <si>
    <t xml:space="preserve">Pioneer Retail</t>
  </si>
  <si>
    <t xml:space="preserve">Digital Transformation</t>
  </si>
  <si>
    <t xml:space="preserve">Event/Conference</t>
  </si>
  <si>
    <t xml:space="preserve">REP-023</t>
  </si>
  <si>
    <t xml:space="preserve">Daniel Larsen</t>
  </si>
  <si>
    <t xml:space="preserve">No Decision/Timing</t>
  </si>
  <si>
    <t xml:space="preserve">CD-00008</t>
  </si>
  <si>
    <t xml:space="preserve">CLI-0162</t>
  </si>
  <si>
    <t xml:space="preserve">Silver Bank</t>
  </si>
  <si>
    <t xml:space="preserve">Telecom</t>
  </si>
  <si>
    <t xml:space="preserve">REP-024</t>
  </si>
  <si>
    <t xml:space="preserve">Lucas Mansour</t>
  </si>
  <si>
    <t xml:space="preserve">CD-00009</t>
  </si>
  <si>
    <t xml:space="preserve">CLI-0060</t>
  </si>
  <si>
    <t xml:space="preserve">Anchor Industries</t>
  </si>
  <si>
    <t xml:space="preserve">Operations Consulting</t>
  </si>
  <si>
    <t xml:space="preserve">CD-00010</t>
  </si>
  <si>
    <t xml:space="preserve">CD-00011</t>
  </si>
  <si>
    <t xml:space="preserve">CLI-0080</t>
  </si>
  <si>
    <t xml:space="preserve">Anchor Dynamics</t>
  </si>
  <si>
    <t xml:space="preserve">APAC</t>
  </si>
  <si>
    <t xml:space="preserve">CD-00012</t>
  </si>
  <si>
    <t xml:space="preserve">CLI-0187</t>
  </si>
  <si>
    <t xml:space="preserve">Highland Capital</t>
  </si>
  <si>
    <t xml:space="preserve">REP-008</t>
  </si>
  <si>
    <t xml:space="preserve">Ingrid Johnson</t>
  </si>
  <si>
    <t xml:space="preserve">CD-00013</t>
  </si>
  <si>
    <t xml:space="preserve">CLI-0027</t>
  </si>
  <si>
    <t xml:space="preserve">Crown Partners</t>
  </si>
  <si>
    <t xml:space="preserve">REP-018</t>
  </si>
  <si>
    <t xml:space="preserve">Sarah Garcia</t>
  </si>
  <si>
    <t xml:space="preserve">CD-00014</t>
  </si>
  <si>
    <t xml:space="preserve">CLI-0016</t>
  </si>
  <si>
    <t xml:space="preserve">Silver Enterprises</t>
  </si>
  <si>
    <t xml:space="preserve">Existing Client Upsell</t>
  </si>
  <si>
    <t xml:space="preserve">REP-007</t>
  </si>
  <si>
    <t xml:space="preserve">Peter Khan</t>
  </si>
  <si>
    <t xml:space="preserve">CD-00015</t>
  </si>
  <si>
    <t xml:space="preserve">REP-010</t>
  </si>
  <si>
    <t xml:space="preserve">Laura Sharma</t>
  </si>
  <si>
    <t xml:space="preserve">CD-00016</t>
  </si>
  <si>
    <t xml:space="preserve">Financial Advisory</t>
  </si>
  <si>
    <t xml:space="preserve">Referral</t>
  </si>
  <si>
    <t xml:space="preserve">REP-019</t>
  </si>
  <si>
    <t xml:space="preserve">Lucas Silva</t>
  </si>
  <si>
    <t xml:space="preserve">CD-00017</t>
  </si>
  <si>
    <t xml:space="preserve">CLI-0111</t>
  </si>
  <si>
    <t xml:space="preserve">Vertex Partners</t>
  </si>
  <si>
    <t xml:space="preserve">REP-020</t>
  </si>
  <si>
    <t xml:space="preserve">Omar Lee</t>
  </si>
  <si>
    <t xml:space="preserve">CD-00018</t>
  </si>
  <si>
    <t xml:space="preserve">CLI-0197</t>
  </si>
  <si>
    <t xml:space="preserve">Falcon Solutions</t>
  </si>
  <si>
    <t xml:space="preserve">Financial Services</t>
  </si>
  <si>
    <t xml:space="preserve">REP-021</t>
  </si>
  <si>
    <t xml:space="preserve">Daniel Lee</t>
  </si>
  <si>
    <t xml:space="preserve">CD-00019</t>
  </si>
  <si>
    <t xml:space="preserve">CLI-0109</t>
  </si>
  <si>
    <t xml:space="preserve">Sterling Dynamics</t>
  </si>
  <si>
    <t xml:space="preserve">Energy &amp; Utilities</t>
  </si>
  <si>
    <t xml:space="preserve">CD-00020</t>
  </si>
  <si>
    <t xml:space="preserve">CLI-0240</t>
  </si>
  <si>
    <t xml:space="preserve">Meridian Telecom</t>
  </si>
  <si>
    <t xml:space="preserve">REP-003</t>
  </si>
  <si>
    <t xml:space="preserve">Wei Brown</t>
  </si>
  <si>
    <t xml:space="preserve">CD-00021</t>
  </si>
  <si>
    <t xml:space="preserve">CLI-0244</t>
  </si>
  <si>
    <t xml:space="preserve">Beacon Retail</t>
  </si>
  <si>
    <t xml:space="preserve">CD-00022</t>
  </si>
  <si>
    <t xml:space="preserve">CLI-0099</t>
  </si>
  <si>
    <t xml:space="preserve">Highland Foods</t>
  </si>
  <si>
    <t xml:space="preserve">REP-012</t>
  </si>
  <si>
    <t xml:space="preserve">Raj Chen</t>
  </si>
  <si>
    <t xml:space="preserve">CD-00023</t>
  </si>
  <si>
    <t xml:space="preserve">CD-00024</t>
  </si>
  <si>
    <t xml:space="preserve">CLI-0176</t>
  </si>
  <si>
    <t xml:space="preserve">Ironclad Foods</t>
  </si>
  <si>
    <t xml:space="preserve">Price/Budget</t>
  </si>
  <si>
    <t xml:space="preserve">CD-00025</t>
  </si>
  <si>
    <t xml:space="preserve">CLI-0151</t>
  </si>
  <si>
    <t xml:space="preserve">Atlas Motors</t>
  </si>
  <si>
    <t xml:space="preserve">REP-011</t>
  </si>
  <si>
    <t xml:space="preserve">Aisha Kim</t>
  </si>
  <si>
    <t xml:space="preserve">CD-00026</t>
  </si>
  <si>
    <t xml:space="preserve">CLI-0249</t>
  </si>
  <si>
    <t xml:space="preserve">Lakeside Motors</t>
  </si>
  <si>
    <t xml:space="preserve">CD-00027</t>
  </si>
  <si>
    <t xml:space="preserve">CLI-0047</t>
  </si>
  <si>
    <t xml:space="preserve">Lakeside Technologies</t>
  </si>
  <si>
    <t xml:space="preserve">REP-013</t>
  </si>
  <si>
    <t xml:space="preserve">Peter Costa</t>
  </si>
  <si>
    <t xml:space="preserve">CD-00028</t>
  </si>
  <si>
    <t xml:space="preserve">CLI-0043</t>
  </si>
  <si>
    <t xml:space="preserve">Pioneer Materials</t>
  </si>
  <si>
    <t xml:space="preserve">CD-00029</t>
  </si>
  <si>
    <t xml:space="preserve">CLI-0049</t>
  </si>
  <si>
    <t xml:space="preserve">Orion Dynamics</t>
  </si>
  <si>
    <t xml:space="preserve">CD-00030</t>
  </si>
  <si>
    <t xml:space="preserve">CLI-0195</t>
  </si>
  <si>
    <t xml:space="preserve">Ironclad Retail</t>
  </si>
  <si>
    <t xml:space="preserve">Retail &amp; Consumer</t>
  </si>
  <si>
    <t xml:space="preserve">CD-00031</t>
  </si>
  <si>
    <t xml:space="preserve">CLI-0143</t>
  </si>
  <si>
    <t xml:space="preserve">Ironclad Enterprises</t>
  </si>
  <si>
    <t xml:space="preserve">CD-00032</t>
  </si>
  <si>
    <t xml:space="preserve">CLI-0121</t>
  </si>
  <si>
    <t xml:space="preserve">Granite Technologies</t>
  </si>
  <si>
    <t xml:space="preserve">CD-00033</t>
  </si>
  <si>
    <t xml:space="preserve">CLI-0103</t>
  </si>
  <si>
    <t xml:space="preserve">Sterling Materials</t>
  </si>
  <si>
    <t xml:space="preserve">CD-00034</t>
  </si>
  <si>
    <t xml:space="preserve">CLI-0223</t>
  </si>
  <si>
    <t xml:space="preserve">Continental Retail</t>
  </si>
  <si>
    <t xml:space="preserve">CD-00035</t>
  </si>
  <si>
    <t xml:space="preserve">CLI-0069</t>
  </si>
  <si>
    <t xml:space="preserve">Coastal Logistics</t>
  </si>
  <si>
    <t xml:space="preserve">REP-017</t>
  </si>
  <si>
    <t xml:space="preserve">Tom Mansour</t>
  </si>
  <si>
    <t xml:space="preserve">CD-00036</t>
  </si>
  <si>
    <t xml:space="preserve">CLI-0106</t>
  </si>
  <si>
    <t xml:space="preserve">Horizon Materials</t>
  </si>
  <si>
    <t xml:space="preserve">CD-00037</t>
  </si>
  <si>
    <t xml:space="preserve">CD-00038</t>
  </si>
  <si>
    <t xml:space="preserve">CLI-0002</t>
  </si>
  <si>
    <t xml:space="preserve">Crown Retail</t>
  </si>
  <si>
    <t xml:space="preserve">CD-00039</t>
  </si>
  <si>
    <t xml:space="preserve">CLI-0124</t>
  </si>
  <si>
    <t xml:space="preserve">Horizon Systems</t>
  </si>
  <si>
    <t xml:space="preserve">REP-022</t>
  </si>
  <si>
    <t xml:space="preserve">Nikolai Sato</t>
  </si>
  <si>
    <t xml:space="preserve">CD-00040</t>
  </si>
  <si>
    <t xml:space="preserve">CLI-0125</t>
  </si>
  <si>
    <t xml:space="preserve">Anchor Partners</t>
  </si>
  <si>
    <t xml:space="preserve">CD-00041</t>
  </si>
  <si>
    <t xml:space="preserve">CLI-0169</t>
  </si>
  <si>
    <t xml:space="preserve">Continental Foods</t>
  </si>
  <si>
    <t xml:space="preserve">REP-002</t>
  </si>
  <si>
    <t xml:space="preserve">Aisha Sato</t>
  </si>
  <si>
    <t xml:space="preserve">CD-00042</t>
  </si>
  <si>
    <t xml:space="preserve">REP-015</t>
  </si>
  <si>
    <t xml:space="preserve">Yuki Garcia</t>
  </si>
  <si>
    <t xml:space="preserve">CD-00043</t>
  </si>
  <si>
    <t xml:space="preserve">CLI-0248</t>
  </si>
  <si>
    <t xml:space="preserve">Horizon Partners</t>
  </si>
  <si>
    <t xml:space="preserve">CD-00044</t>
  </si>
  <si>
    <t xml:space="preserve">CLI-0113</t>
  </si>
  <si>
    <t xml:space="preserve">Metro Materials</t>
  </si>
  <si>
    <t xml:space="preserve">CD-00045</t>
  </si>
  <si>
    <t xml:space="preserve">CD-00046</t>
  </si>
  <si>
    <t xml:space="preserve">CLI-0211</t>
  </si>
  <si>
    <t xml:space="preserve">Horizon Bank</t>
  </si>
  <si>
    <t xml:space="preserve">CD-00047</t>
  </si>
  <si>
    <t xml:space="preserve">CLI-0230</t>
  </si>
  <si>
    <t xml:space="preserve">Union Networks</t>
  </si>
  <si>
    <t xml:space="preserve">CD-00048</t>
  </si>
  <si>
    <t xml:space="preserve">CLI-0087</t>
  </si>
  <si>
    <t xml:space="preserve">Meridian Health</t>
  </si>
  <si>
    <t xml:space="preserve">CD-00049</t>
  </si>
  <si>
    <t xml:space="preserve">CLI-0158</t>
  </si>
  <si>
    <t xml:space="preserve">Blue Technologies</t>
  </si>
  <si>
    <t xml:space="preserve">CD-00050</t>
  </si>
  <si>
    <t xml:space="preserve">CLI-0232</t>
  </si>
  <si>
    <t xml:space="preserve">Beacon Bank</t>
  </si>
  <si>
    <t xml:space="preserve">REP-001</t>
  </si>
  <si>
    <t xml:space="preserve">Wei Mansour</t>
  </si>
  <si>
    <t xml:space="preserve">CD-00051</t>
  </si>
  <si>
    <t xml:space="preserve">CLI-0202</t>
  </si>
  <si>
    <t xml:space="preserve">Atlas Solutions</t>
  </si>
  <si>
    <t xml:space="preserve">CD-00052</t>
  </si>
  <si>
    <t xml:space="preserve">CLI-0234</t>
  </si>
  <si>
    <t xml:space="preserve">Anchor Group</t>
  </si>
  <si>
    <t xml:space="preserve">CD-00053</t>
  </si>
  <si>
    <t xml:space="preserve">CD-00054</t>
  </si>
  <si>
    <t xml:space="preserve">CLI-0071</t>
  </si>
  <si>
    <t xml:space="preserve">Bridgeway Enterprises</t>
  </si>
  <si>
    <t xml:space="preserve">CD-00055</t>
  </si>
  <si>
    <t xml:space="preserve">CLI-0137</t>
  </si>
  <si>
    <t xml:space="preserve">Meridian Capital</t>
  </si>
  <si>
    <t xml:space="preserve">CD-00056</t>
  </si>
  <si>
    <t xml:space="preserve">CLI-0118</t>
  </si>
  <si>
    <t xml:space="preserve">Blue Capital</t>
  </si>
  <si>
    <t xml:space="preserve">CD-00057</t>
  </si>
  <si>
    <t xml:space="preserve">CLI-0051</t>
  </si>
  <si>
    <t xml:space="preserve">Granite Networks</t>
  </si>
  <si>
    <t xml:space="preserve">CD-00058</t>
  </si>
  <si>
    <t xml:space="preserve">CLI-0128</t>
  </si>
  <si>
    <t xml:space="preserve">Horizon Group</t>
  </si>
  <si>
    <t xml:space="preserve">CD-00059</t>
  </si>
  <si>
    <t xml:space="preserve">CLI-0173</t>
  </si>
  <si>
    <t xml:space="preserve">Silver Motors</t>
  </si>
  <si>
    <t xml:space="preserve">CD-00060</t>
  </si>
  <si>
    <t xml:space="preserve">CD-00061</t>
  </si>
  <si>
    <t xml:space="preserve">CLI-0053</t>
  </si>
  <si>
    <t xml:space="preserve">Beacon Partners</t>
  </si>
  <si>
    <t xml:space="preserve">CD-00062</t>
  </si>
  <si>
    <t xml:space="preserve">CLI-0181</t>
  </si>
  <si>
    <t xml:space="preserve">Lakeside Health</t>
  </si>
  <si>
    <t xml:space="preserve">CD-00063</t>
  </si>
  <si>
    <t xml:space="preserve">CLI-0050</t>
  </si>
  <si>
    <t xml:space="preserve">Silver Solutions</t>
  </si>
  <si>
    <t xml:space="preserve">CD-00064</t>
  </si>
  <si>
    <t xml:space="preserve">CLI-0048</t>
  </si>
  <si>
    <t xml:space="preserve">Continental Telecom</t>
  </si>
  <si>
    <t xml:space="preserve">CD-00065</t>
  </si>
  <si>
    <t xml:space="preserve">CD-00066</t>
  </si>
  <si>
    <t xml:space="preserve">CLI-0102</t>
  </si>
  <si>
    <t xml:space="preserve">Falcon Health</t>
  </si>
  <si>
    <t xml:space="preserve">CD-00067</t>
  </si>
  <si>
    <t xml:space="preserve">CLI-0236</t>
  </si>
  <si>
    <t xml:space="preserve">Continental Energy</t>
  </si>
  <si>
    <t xml:space="preserve">CD-00068</t>
  </si>
  <si>
    <t xml:space="preserve">CLI-0166</t>
  </si>
  <si>
    <t xml:space="preserve">Horizon Motors</t>
  </si>
  <si>
    <t xml:space="preserve">CD-00069</t>
  </si>
  <si>
    <t xml:space="preserve">CLI-0076</t>
  </si>
  <si>
    <t xml:space="preserve">Bridgeway Motors</t>
  </si>
  <si>
    <t xml:space="preserve">CD-00070</t>
  </si>
  <si>
    <t xml:space="preserve">CLI-0189</t>
  </si>
  <si>
    <t xml:space="preserve">Cedar Materials</t>
  </si>
  <si>
    <t xml:space="preserve">CD-00071</t>
  </si>
  <si>
    <t xml:space="preserve">CLI-0200</t>
  </si>
  <si>
    <t xml:space="preserve">Crown Industries</t>
  </si>
  <si>
    <t xml:space="preserve">CD-00072</t>
  </si>
  <si>
    <t xml:space="preserve">CD-00073</t>
  </si>
  <si>
    <t xml:space="preserve">CLI-0183</t>
  </si>
  <si>
    <t xml:space="preserve">Blue Industries</t>
  </si>
  <si>
    <t xml:space="preserve">CD-00074</t>
  </si>
  <si>
    <t xml:space="preserve">CLI-0203</t>
  </si>
  <si>
    <t xml:space="preserve">Crown Holdings</t>
  </si>
  <si>
    <t xml:space="preserve">CD-00075</t>
  </si>
  <si>
    <t xml:space="preserve">CLI-0225</t>
  </si>
  <si>
    <t xml:space="preserve">Ironclad Holdings</t>
  </si>
  <si>
    <t xml:space="preserve">CD-00076</t>
  </si>
  <si>
    <t xml:space="preserve">CLI-0009</t>
  </si>
  <si>
    <t xml:space="preserve">Falcon Retail</t>
  </si>
  <si>
    <t xml:space="preserve">CD-00077</t>
  </si>
  <si>
    <t xml:space="preserve">CLI-0148</t>
  </si>
  <si>
    <t xml:space="preserve">Ironclad Dynamics</t>
  </si>
  <si>
    <t xml:space="preserve">CD-00078</t>
  </si>
  <si>
    <t xml:space="preserve">CD-00079</t>
  </si>
  <si>
    <t xml:space="preserve">CD-00080</t>
  </si>
  <si>
    <t xml:space="preserve">CLI-0208</t>
  </si>
  <si>
    <t xml:space="preserve">Continental Systems</t>
  </si>
  <si>
    <t xml:space="preserve">CD-00081</t>
  </si>
  <si>
    <t xml:space="preserve">CD-00082</t>
  </si>
  <si>
    <t xml:space="preserve">CD-00083</t>
  </si>
  <si>
    <t xml:space="preserve">CLI-0172</t>
  </si>
  <si>
    <t xml:space="preserve">Harbor Health</t>
  </si>
  <si>
    <t xml:space="preserve">CD-00084</t>
  </si>
  <si>
    <t xml:space="preserve">CLI-0034</t>
  </si>
  <si>
    <t xml:space="preserve">Pioneer Technologies</t>
  </si>
  <si>
    <t xml:space="preserve">CD-00085</t>
  </si>
  <si>
    <t xml:space="preserve">CD-00086</t>
  </si>
  <si>
    <t xml:space="preserve">CLI-0059</t>
  </si>
  <si>
    <t xml:space="preserve">Continental Bank</t>
  </si>
  <si>
    <t xml:space="preserve">CD-00087</t>
  </si>
  <si>
    <t xml:space="preserve">CD-00088</t>
  </si>
  <si>
    <t xml:space="preserve">CD-00089</t>
  </si>
  <si>
    <t xml:space="preserve">CLI-0180</t>
  </si>
  <si>
    <t xml:space="preserve">Sterling Technologies</t>
  </si>
  <si>
    <t xml:space="preserve">REP-006</t>
  </si>
  <si>
    <t xml:space="preserve">Ahmed Müller</t>
  </si>
  <si>
    <t xml:space="preserve">CD-00090</t>
  </si>
  <si>
    <t xml:space="preserve">CD-00091</t>
  </si>
  <si>
    <t xml:space="preserve">CD-00092</t>
  </si>
  <si>
    <t xml:space="preserve">CD-00093</t>
  </si>
  <si>
    <t xml:space="preserve">CD-00094</t>
  </si>
  <si>
    <t xml:space="preserve">CLI-0257</t>
  </si>
  <si>
    <t xml:space="preserve">North Foods</t>
  </si>
  <si>
    <t xml:space="preserve">CD-00095</t>
  </si>
  <si>
    <t xml:space="preserve">CLI-0061</t>
  </si>
  <si>
    <t xml:space="preserve">Blue Solutions</t>
  </si>
  <si>
    <t xml:space="preserve">CD-00096</t>
  </si>
  <si>
    <t xml:space="preserve">CD-00097</t>
  </si>
  <si>
    <t xml:space="preserve">CD-00098</t>
  </si>
  <si>
    <t xml:space="preserve">CD-00099</t>
  </si>
  <si>
    <t xml:space="preserve">CLI-0185</t>
  </si>
  <si>
    <t xml:space="preserve">Atlas Technologies</t>
  </si>
  <si>
    <t xml:space="preserve">CD-00100</t>
  </si>
  <si>
    <t xml:space="preserve">CLI-0038</t>
  </si>
  <si>
    <t xml:space="preserve">Continental Enterprises</t>
  </si>
  <si>
    <t xml:space="preserve">CD-00101</t>
  </si>
  <si>
    <t xml:space="preserve">CLI-0206</t>
  </si>
  <si>
    <t xml:space="preserve">Granite Systems</t>
  </si>
  <si>
    <t xml:space="preserve">CD-00102</t>
  </si>
  <si>
    <t xml:space="preserve">CLI-0095</t>
  </si>
  <si>
    <t xml:space="preserve">Falcon Logistics</t>
  </si>
  <si>
    <t xml:space="preserve">CD-00103</t>
  </si>
  <si>
    <t xml:space="preserve">CD-00104</t>
  </si>
  <si>
    <t xml:space="preserve">CD-00105</t>
  </si>
  <si>
    <t xml:space="preserve">CD-00106</t>
  </si>
  <si>
    <t xml:space="preserve">CD-00107</t>
  </si>
  <si>
    <t xml:space="preserve">CD-00108</t>
  </si>
  <si>
    <t xml:space="preserve">CD-00109</t>
  </si>
  <si>
    <t xml:space="preserve">CD-00110</t>
  </si>
  <si>
    <t xml:space="preserve">CLI-0260</t>
  </si>
  <si>
    <t xml:space="preserve">Metro Group</t>
  </si>
  <si>
    <t xml:space="preserve">CD-00111</t>
  </si>
  <si>
    <t xml:space="preserve">CLI-0177</t>
  </si>
  <si>
    <t xml:space="preserve">Horizon Holdings</t>
  </si>
  <si>
    <t xml:space="preserve">CD-00112</t>
  </si>
  <si>
    <t xml:space="preserve">CLI-0235</t>
  </si>
  <si>
    <t xml:space="preserve">Granite Holdings</t>
  </si>
  <si>
    <t xml:space="preserve">CD-00113</t>
  </si>
  <si>
    <t xml:space="preserve">CD-00114</t>
  </si>
  <si>
    <t xml:space="preserve">CLI-0093</t>
  </si>
  <si>
    <t xml:space="preserve">Metro Retail</t>
  </si>
  <si>
    <t xml:space="preserve">CD-00115</t>
  </si>
  <si>
    <t xml:space="preserve">CD-00116</t>
  </si>
  <si>
    <t xml:space="preserve">CD-00117</t>
  </si>
  <si>
    <t xml:space="preserve">CD-00118</t>
  </si>
  <si>
    <t xml:space="preserve">CD-00119</t>
  </si>
  <si>
    <t xml:space="preserve">CLI-0164</t>
  </si>
  <si>
    <t xml:space="preserve">Continental Solutions</t>
  </si>
  <si>
    <t xml:space="preserve">CD-00120</t>
  </si>
  <si>
    <t xml:space="preserve">CLI-0022</t>
  </si>
  <si>
    <t xml:space="preserve">Coastal Technologies</t>
  </si>
  <si>
    <t xml:space="preserve">CD-00121</t>
  </si>
  <si>
    <t xml:space="preserve">CD-00122</t>
  </si>
  <si>
    <t xml:space="preserve">CD-00123</t>
  </si>
  <si>
    <t xml:space="preserve">CD-00124</t>
  </si>
  <si>
    <t xml:space="preserve">CLI-0045</t>
  </si>
  <si>
    <t xml:space="preserve">Ironclad Logistics</t>
  </si>
  <si>
    <t xml:space="preserve">CD-00125</t>
  </si>
  <si>
    <t xml:space="preserve">CD-00126</t>
  </si>
  <si>
    <t xml:space="preserve">CLI-0097</t>
  </si>
  <si>
    <t xml:space="preserve">Blue Networks</t>
  </si>
  <si>
    <t xml:space="preserve">CD-00127</t>
  </si>
  <si>
    <t xml:space="preserve">CLI-0155</t>
  </si>
  <si>
    <t xml:space="preserve">Orion Partners</t>
  </si>
  <si>
    <t xml:space="preserve">CD-00128</t>
  </si>
  <si>
    <t xml:space="preserve">CD-00129</t>
  </si>
  <si>
    <t xml:space="preserve">CD-00130</t>
  </si>
  <si>
    <t xml:space="preserve">CD-00131</t>
  </si>
  <si>
    <t xml:space="preserve">CD-00132</t>
  </si>
  <si>
    <t xml:space="preserve">CD-00133</t>
  </si>
  <si>
    <t xml:space="preserve">CD-00134</t>
  </si>
  <si>
    <t xml:space="preserve">CD-00135</t>
  </si>
  <si>
    <t xml:space="preserve">CD-00136</t>
  </si>
  <si>
    <t xml:space="preserve">CLI-0096</t>
  </si>
  <si>
    <t xml:space="preserve">Cedar Bank</t>
  </si>
  <si>
    <t xml:space="preserve">CD-00137</t>
  </si>
  <si>
    <t xml:space="preserve">CD-00138</t>
  </si>
  <si>
    <t xml:space="preserve">CLI-0108</t>
  </si>
  <si>
    <t xml:space="preserve">Sterling Enterprises</t>
  </si>
  <si>
    <t xml:space="preserve">CD-00139</t>
  </si>
  <si>
    <t xml:space="preserve">CD-00140</t>
  </si>
  <si>
    <t xml:space="preserve">CD-00141</t>
  </si>
  <si>
    <t xml:space="preserve">CLI-0133</t>
  </si>
  <si>
    <t xml:space="preserve">North Networks</t>
  </si>
  <si>
    <t xml:space="preserve">CD-00142</t>
  </si>
  <si>
    <t xml:space="preserve">CD-00143</t>
  </si>
  <si>
    <t xml:space="preserve">CD-00144</t>
  </si>
  <si>
    <t xml:space="preserve">CD-00145</t>
  </si>
  <si>
    <t xml:space="preserve">CD-00146</t>
  </si>
  <si>
    <t xml:space="preserve">CLI-0129</t>
  </si>
  <si>
    <t xml:space="preserve">Atlas Health</t>
  </si>
  <si>
    <t xml:space="preserve">CD-00147</t>
  </si>
  <si>
    <t xml:space="preserve">CD-00148</t>
  </si>
  <si>
    <t xml:space="preserve">CLI-0094</t>
  </si>
  <si>
    <t xml:space="preserve">Redwood Motors</t>
  </si>
  <si>
    <t xml:space="preserve">CD-00149</t>
  </si>
  <si>
    <t xml:space="preserve">CLI-0238</t>
  </si>
  <si>
    <t xml:space="preserve">Redwood Retail</t>
  </si>
  <si>
    <t xml:space="preserve">CD-00150</t>
  </si>
  <si>
    <t xml:space="preserve">CD-00151</t>
  </si>
  <si>
    <t xml:space="preserve">CD-00152</t>
  </si>
  <si>
    <t xml:space="preserve">CLI-0019</t>
  </si>
  <si>
    <t xml:space="preserve">Highland Partners</t>
  </si>
  <si>
    <t xml:space="preserve">CD-00153</t>
  </si>
  <si>
    <t xml:space="preserve">CLI-0157</t>
  </si>
  <si>
    <t xml:space="preserve">Redwood Industries</t>
  </si>
  <si>
    <t xml:space="preserve">CD-00154</t>
  </si>
  <si>
    <t xml:space="preserve">CD-00155</t>
  </si>
  <si>
    <t xml:space="preserve">CD-00156</t>
  </si>
  <si>
    <t xml:space="preserve">CLI-0205</t>
  </si>
  <si>
    <t xml:space="preserve">Harbor Logistics</t>
  </si>
  <si>
    <t xml:space="preserve">CD-00157</t>
  </si>
  <si>
    <t xml:space="preserve">CD-00158</t>
  </si>
  <si>
    <t xml:space="preserve">CLI-0037</t>
  </si>
  <si>
    <t xml:space="preserve">Anchor Networks</t>
  </si>
  <si>
    <t xml:space="preserve">CD-00159</t>
  </si>
  <si>
    <t xml:space="preserve">CD-00160</t>
  </si>
  <si>
    <t xml:space="preserve">CLI-0072</t>
  </si>
  <si>
    <t xml:space="preserve">Union Capital</t>
  </si>
  <si>
    <t xml:space="preserve">CD-00161</t>
  </si>
  <si>
    <t xml:space="preserve">CD-00162</t>
  </si>
  <si>
    <t xml:space="preserve">CLI-0003</t>
  </si>
  <si>
    <t xml:space="preserve">Ironclad Energy</t>
  </si>
  <si>
    <t xml:space="preserve">CD-00163</t>
  </si>
  <si>
    <t xml:space="preserve">CLI-0066</t>
  </si>
  <si>
    <t xml:space="preserve">Metro Motors</t>
  </si>
  <si>
    <t xml:space="preserve">CD-00164</t>
  </si>
  <si>
    <t xml:space="preserve">CLI-0130</t>
  </si>
  <si>
    <t xml:space="preserve">Falcon Holdings</t>
  </si>
  <si>
    <t xml:space="preserve">CD-00165</t>
  </si>
  <si>
    <t xml:space="preserve">CD-00166</t>
  </si>
  <si>
    <t xml:space="preserve">CD-00167</t>
  </si>
  <si>
    <t xml:space="preserve">CD-00168</t>
  </si>
  <si>
    <t xml:space="preserve">CLI-0052</t>
  </si>
  <si>
    <t xml:space="preserve">North Industries</t>
  </si>
  <si>
    <t xml:space="preserve">CD-00169</t>
  </si>
  <si>
    <t xml:space="preserve">CD-00170</t>
  </si>
  <si>
    <t xml:space="preserve">CD-00171</t>
  </si>
  <si>
    <t xml:space="preserve">CLI-0107</t>
  </si>
  <si>
    <t xml:space="preserve">Delta Industries</t>
  </si>
  <si>
    <t xml:space="preserve">CD-00172</t>
  </si>
  <si>
    <t xml:space="preserve">CD-00173</t>
  </si>
  <si>
    <t xml:space="preserve">CD-00174</t>
  </si>
  <si>
    <t xml:space="preserve">CLI-0258</t>
  </si>
  <si>
    <t xml:space="preserve">Blue Partners</t>
  </si>
  <si>
    <t xml:space="preserve">CD-00175</t>
  </si>
  <si>
    <t xml:space="preserve">CD-00176</t>
  </si>
  <si>
    <t xml:space="preserve">CD-00177</t>
  </si>
  <si>
    <t xml:space="preserve">CD-00178</t>
  </si>
  <si>
    <t xml:space="preserve">CD-00179</t>
  </si>
  <si>
    <t xml:space="preserve">CD-00180</t>
  </si>
  <si>
    <t xml:space="preserve">CD-00181</t>
  </si>
  <si>
    <t xml:space="preserve">CD-00182</t>
  </si>
  <si>
    <t xml:space="preserve">CD-00183</t>
  </si>
  <si>
    <t xml:space="preserve">CD-00184</t>
  </si>
  <si>
    <t xml:space="preserve">CD-00185</t>
  </si>
  <si>
    <t xml:space="preserve">CD-00186</t>
  </si>
  <si>
    <t xml:space="preserve">CD-00187</t>
  </si>
  <si>
    <t xml:space="preserve">CLI-0242</t>
  </si>
  <si>
    <t xml:space="preserve">Lakeside Bank</t>
  </si>
  <si>
    <t xml:space="preserve">CD-00188</t>
  </si>
  <si>
    <t xml:space="preserve">CLI-0245</t>
  </si>
  <si>
    <t xml:space="preserve">Summit Health</t>
  </si>
  <si>
    <t xml:space="preserve">CD-00189</t>
  </si>
  <si>
    <t xml:space="preserve">CD-00190</t>
  </si>
  <si>
    <t xml:space="preserve">CLI-0026</t>
  </si>
  <si>
    <t xml:space="preserve">Sterling Systems</t>
  </si>
  <si>
    <t xml:space="preserve">CD-00191</t>
  </si>
  <si>
    <t xml:space="preserve">CD-00192</t>
  </si>
  <si>
    <t xml:space="preserve">CLI-0191</t>
  </si>
  <si>
    <t xml:space="preserve">Beacon Energy</t>
  </si>
  <si>
    <t xml:space="preserve">CD-00193</t>
  </si>
  <si>
    <t xml:space="preserve">CD-00194</t>
  </si>
  <si>
    <t xml:space="preserve">CD-00195</t>
  </si>
  <si>
    <t xml:space="preserve">CLI-0152</t>
  </si>
  <si>
    <t xml:space="preserve">Union Health</t>
  </si>
  <si>
    <t xml:space="preserve">CD-00196</t>
  </si>
  <si>
    <t xml:space="preserve">CLI-0220</t>
  </si>
  <si>
    <t xml:space="preserve">Atlas Logistics</t>
  </si>
  <si>
    <t xml:space="preserve">CD-00197</t>
  </si>
  <si>
    <t xml:space="preserve">CD-00198</t>
  </si>
  <si>
    <t xml:space="preserve">CD-00199</t>
  </si>
  <si>
    <t xml:space="preserve">CD-00200</t>
  </si>
  <si>
    <t xml:space="preserve">CD-00201</t>
  </si>
  <si>
    <t xml:space="preserve">CLI-0147</t>
  </si>
  <si>
    <t xml:space="preserve">Coastal Materials</t>
  </si>
  <si>
    <t xml:space="preserve">CD-00202</t>
  </si>
  <si>
    <t xml:space="preserve">CLI-0006</t>
  </si>
  <si>
    <t xml:space="preserve">Anchor Holdings</t>
  </si>
  <si>
    <t xml:space="preserve">CD-00203</t>
  </si>
  <si>
    <t xml:space="preserve">CLI-0079</t>
  </si>
  <si>
    <t xml:space="preserve">Silver Materials</t>
  </si>
  <si>
    <t xml:space="preserve">CD-00204</t>
  </si>
  <si>
    <t xml:space="preserve">CD-00205</t>
  </si>
  <si>
    <t xml:space="preserve">CD-00206</t>
  </si>
  <si>
    <t xml:space="preserve">CLI-0017</t>
  </si>
  <si>
    <t xml:space="preserve">Coastal Holdings</t>
  </si>
  <si>
    <t xml:space="preserve">CD-00207</t>
  </si>
  <si>
    <t xml:space="preserve">CLI-0136</t>
  </si>
  <si>
    <t xml:space="preserve">Granite Group</t>
  </si>
  <si>
    <t xml:space="preserve">CD-00208</t>
  </si>
  <si>
    <t xml:space="preserve">CLI-0100</t>
  </si>
  <si>
    <t xml:space="preserve">Meridian Group</t>
  </si>
  <si>
    <t xml:space="preserve">CD-00209</t>
  </si>
  <si>
    <t xml:space="preserve">CD-00210</t>
  </si>
  <si>
    <t xml:space="preserve">CLI-0091</t>
  </si>
  <si>
    <t xml:space="preserve">Pioneer Enterprises</t>
  </si>
  <si>
    <t xml:space="preserve">CD-00211</t>
  </si>
  <si>
    <t xml:space="preserve">CLI-0018</t>
  </si>
  <si>
    <t xml:space="preserve">Redwood Capital</t>
  </si>
  <si>
    <t xml:space="preserve">CD-00212</t>
  </si>
  <si>
    <t xml:space="preserve">CD-00213</t>
  </si>
  <si>
    <t xml:space="preserve">CD-00214</t>
  </si>
  <si>
    <t xml:space="preserve">CD-00215</t>
  </si>
  <si>
    <t xml:space="preserve">CD-00216</t>
  </si>
  <si>
    <t xml:space="preserve">CLI-0167</t>
  </si>
  <si>
    <t xml:space="preserve">Metro Networks</t>
  </si>
  <si>
    <t xml:space="preserve">CD-00217</t>
  </si>
  <si>
    <t xml:space="preserve">CD-00218</t>
  </si>
  <si>
    <t xml:space="preserve">CD-00219</t>
  </si>
  <si>
    <t xml:space="preserve">CD-00220</t>
  </si>
  <si>
    <t xml:space="preserve">CLI-0184</t>
  </si>
  <si>
    <t xml:space="preserve">Pinnacle Materials</t>
  </si>
  <si>
    <t xml:space="preserve">CD-00221</t>
  </si>
  <si>
    <t xml:space="preserve">CD-00222</t>
  </si>
  <si>
    <t xml:space="preserve">CLI-0068</t>
  </si>
  <si>
    <t xml:space="preserve">Union Bank</t>
  </si>
  <si>
    <t xml:space="preserve">CD-00223</t>
  </si>
  <si>
    <t xml:space="preserve">CD-00224</t>
  </si>
  <si>
    <t xml:space="preserve">CD-00225</t>
  </si>
  <si>
    <t xml:space="preserve">CD-00226</t>
  </si>
  <si>
    <t xml:space="preserve">CD-00227</t>
  </si>
  <si>
    <t xml:space="preserve">CD-00228</t>
  </si>
  <si>
    <t xml:space="preserve">CLI-0156</t>
  </si>
  <si>
    <t xml:space="preserve">Sterling Telecom</t>
  </si>
  <si>
    <t xml:space="preserve">CD-00229</t>
  </si>
  <si>
    <t xml:space="preserve">CD-00230</t>
  </si>
  <si>
    <t xml:space="preserve">CLI-0028</t>
  </si>
  <si>
    <t xml:space="preserve">Pinnacle Enterprises</t>
  </si>
  <si>
    <t xml:space="preserve">CD-00231</t>
  </si>
  <si>
    <t xml:space="preserve">CD-00232</t>
  </si>
  <si>
    <t xml:space="preserve">CD-00233</t>
  </si>
  <si>
    <t xml:space="preserve">CD-00234</t>
  </si>
  <si>
    <t xml:space="preserve">CD-00235</t>
  </si>
  <si>
    <t xml:space="preserve">CD-00236</t>
  </si>
  <si>
    <t xml:space="preserve">CLI-0259</t>
  </si>
  <si>
    <t xml:space="preserve">Vertex Retail</t>
  </si>
  <si>
    <t xml:space="preserve">CD-00237</t>
  </si>
  <si>
    <t xml:space="preserve">CD-00238</t>
  </si>
  <si>
    <t xml:space="preserve">CLI-0221</t>
  </si>
  <si>
    <t xml:space="preserve">Crown Health</t>
  </si>
  <si>
    <t xml:space="preserve">CD-00239</t>
  </si>
  <si>
    <t xml:space="preserve">CD-00240</t>
  </si>
  <si>
    <t xml:space="preserve">CD-00241</t>
  </si>
  <si>
    <t xml:space="preserve">CD-00242</t>
  </si>
  <si>
    <t xml:space="preserve">CD-00243</t>
  </si>
  <si>
    <t xml:space="preserve">CD-00244</t>
  </si>
  <si>
    <t xml:space="preserve">CLI-0101</t>
  </si>
  <si>
    <t xml:space="preserve">Highland Technologies</t>
  </si>
  <si>
    <t xml:space="preserve">CD-00245</t>
  </si>
  <si>
    <t xml:space="preserve">CD-00246</t>
  </si>
  <si>
    <t xml:space="preserve">CLI-0046</t>
  </si>
  <si>
    <t xml:space="preserve">Metro Partners</t>
  </si>
  <si>
    <t xml:space="preserve">CD-00247</t>
  </si>
  <si>
    <t xml:space="preserve">CD-00248</t>
  </si>
  <si>
    <t xml:space="preserve">CD-00249</t>
  </si>
  <si>
    <t xml:space="preserve">CLI-0012</t>
  </si>
  <si>
    <t xml:space="preserve">Coastal Enterprises</t>
  </si>
  <si>
    <t xml:space="preserve">CD-00250</t>
  </si>
  <si>
    <t xml:space="preserve">CD-00251</t>
  </si>
  <si>
    <t xml:space="preserve">CD-00252</t>
  </si>
  <si>
    <t xml:space="preserve">CD-00253</t>
  </si>
  <si>
    <t xml:space="preserve">CLI-0083</t>
  </si>
  <si>
    <t xml:space="preserve">Highland Enterprises</t>
  </si>
  <si>
    <t xml:space="preserve">CD-00254</t>
  </si>
  <si>
    <t xml:space="preserve">CD-00255</t>
  </si>
  <si>
    <t xml:space="preserve">CD-00256</t>
  </si>
  <si>
    <t xml:space="preserve">CD-00257</t>
  </si>
  <si>
    <t xml:space="preserve">CD-00258</t>
  </si>
  <si>
    <t xml:space="preserve">CLI-0194</t>
  </si>
  <si>
    <t xml:space="preserve">Harbor Holdings</t>
  </si>
  <si>
    <t xml:space="preserve">CD-00259</t>
  </si>
  <si>
    <t xml:space="preserve">CD-00260</t>
  </si>
  <si>
    <t xml:space="preserve">CD-00261</t>
  </si>
  <si>
    <t xml:space="preserve">CD-00262</t>
  </si>
  <si>
    <t xml:space="preserve">CD-00263</t>
  </si>
  <si>
    <t xml:space="preserve">CD-00264</t>
  </si>
  <si>
    <t xml:space="preserve">CD-00265</t>
  </si>
  <si>
    <t xml:space="preserve">CD-00266</t>
  </si>
  <si>
    <t xml:space="preserve">CD-00267</t>
  </si>
  <si>
    <t xml:space="preserve">CD-00268</t>
  </si>
  <si>
    <t xml:space="preserve">CD-00269</t>
  </si>
  <si>
    <t xml:space="preserve">CD-00270</t>
  </si>
  <si>
    <t xml:space="preserve">CD-00271</t>
  </si>
  <si>
    <t xml:space="preserve">CD-00272</t>
  </si>
  <si>
    <t xml:space="preserve">CD-00273</t>
  </si>
  <si>
    <t xml:space="preserve">CD-00274</t>
  </si>
  <si>
    <t xml:space="preserve">CD-00275</t>
  </si>
  <si>
    <t xml:space="preserve">CD-00276</t>
  </si>
  <si>
    <t xml:space="preserve">CD-00277</t>
  </si>
  <si>
    <t xml:space="preserve">CD-00278</t>
  </si>
  <si>
    <t xml:space="preserve">CD-00279</t>
  </si>
  <si>
    <t xml:space="preserve">CD-00280</t>
  </si>
  <si>
    <t xml:space="preserve">CD-00281</t>
  </si>
  <si>
    <t xml:space="preserve">CD-00282</t>
  </si>
  <si>
    <t xml:space="preserve">CD-00283</t>
  </si>
  <si>
    <t xml:space="preserve">CLI-0056</t>
  </si>
  <si>
    <t xml:space="preserve">Highland Holdings</t>
  </si>
  <si>
    <t xml:space="preserve">CD-00284</t>
  </si>
  <si>
    <t xml:space="preserve">CLI-0010</t>
  </si>
  <si>
    <t xml:space="preserve">Blue Health</t>
  </si>
  <si>
    <t xml:space="preserve">CD-00285</t>
  </si>
  <si>
    <t xml:space="preserve">CD-00286</t>
  </si>
  <si>
    <t xml:space="preserve">CD-00287</t>
  </si>
  <si>
    <t xml:space="preserve">CD-00288</t>
  </si>
  <si>
    <t xml:space="preserve">CD-00289</t>
  </si>
  <si>
    <t xml:space="preserve">CLI-0175</t>
  </si>
  <si>
    <t xml:space="preserve">Harbor Industries</t>
  </si>
  <si>
    <t xml:space="preserve">CD-00290</t>
  </si>
  <si>
    <t xml:space="preserve">CD-00291</t>
  </si>
  <si>
    <t xml:space="preserve">CD-00292</t>
  </si>
  <si>
    <t xml:space="preserve">CD-00293</t>
  </si>
  <si>
    <t xml:space="preserve">CLI-0035</t>
  </si>
  <si>
    <t xml:space="preserve">Summit Group</t>
  </si>
  <si>
    <t xml:space="preserve">CD-00294</t>
  </si>
  <si>
    <t xml:space="preserve">CD-00295</t>
  </si>
  <si>
    <t xml:space="preserve">CD-00296</t>
  </si>
  <si>
    <t xml:space="preserve">CD-00297</t>
  </si>
  <si>
    <t xml:space="preserve">CD-00298</t>
  </si>
  <si>
    <t xml:space="preserve">CD-00299</t>
  </si>
  <si>
    <t xml:space="preserve">CD-00300</t>
  </si>
  <si>
    <t xml:space="preserve">CD-00301</t>
  </si>
  <si>
    <t xml:space="preserve">CD-00302</t>
  </si>
  <si>
    <t xml:space="preserve">CD-00303</t>
  </si>
  <si>
    <t xml:space="preserve">CD-00304</t>
  </si>
  <si>
    <t xml:space="preserve">CD-00305</t>
  </si>
  <si>
    <t xml:space="preserve">CD-00306</t>
  </si>
  <si>
    <t xml:space="preserve">CD-00307</t>
  </si>
  <si>
    <t xml:space="preserve">CD-00308</t>
  </si>
  <si>
    <t xml:space="preserve">CLI-0122</t>
  </si>
  <si>
    <t xml:space="preserve">Delta Bank</t>
  </si>
  <si>
    <t xml:space="preserve">CD-00309</t>
  </si>
  <si>
    <t xml:space="preserve">CLI-0092</t>
  </si>
  <si>
    <t xml:space="preserve">Harbor Solutions</t>
  </si>
  <si>
    <t xml:space="preserve">CD-00310</t>
  </si>
  <si>
    <t xml:space="preserve">CD-00311</t>
  </si>
  <si>
    <t xml:space="preserve">CD-00312</t>
  </si>
  <si>
    <t xml:space="preserve">CD-00313</t>
  </si>
  <si>
    <t xml:space="preserve">CD-00314</t>
  </si>
  <si>
    <t xml:space="preserve">CLI-0021</t>
  </si>
  <si>
    <t xml:space="preserve">Ironclad Solutions</t>
  </si>
  <si>
    <t xml:space="preserve">CD-00315</t>
  </si>
  <si>
    <t xml:space="preserve">CD-00316</t>
  </si>
  <si>
    <t xml:space="preserve">CD-00317</t>
  </si>
  <si>
    <t xml:space="preserve">CLI-0233</t>
  </si>
  <si>
    <t xml:space="preserve">Union Systems</t>
  </si>
  <si>
    <t xml:space="preserve">CD-00318</t>
  </si>
  <si>
    <t xml:space="preserve">CD-00319</t>
  </si>
  <si>
    <t xml:space="preserve">CD-00320</t>
  </si>
  <si>
    <t xml:space="preserve">CD-00321</t>
  </si>
  <si>
    <t xml:space="preserve">CD-00322</t>
  </si>
  <si>
    <t xml:space="preserve">CLI-0149</t>
  </si>
  <si>
    <t xml:space="preserve">Metro Enterprises</t>
  </si>
  <si>
    <t xml:space="preserve">CD-00323</t>
  </si>
  <si>
    <t xml:space="preserve">CD-00324</t>
  </si>
  <si>
    <t xml:space="preserve">CD-00325</t>
  </si>
  <si>
    <t xml:space="preserve">CD-00326</t>
  </si>
  <si>
    <t xml:space="preserve">CD-00327</t>
  </si>
  <si>
    <t xml:space="preserve">CLI-0007</t>
  </si>
  <si>
    <t xml:space="preserve">Orion Energy</t>
  </si>
  <si>
    <t xml:space="preserve">CD-00328</t>
  </si>
  <si>
    <t xml:space="preserve">CD-00329</t>
  </si>
  <si>
    <t xml:space="preserve">CLI-0222</t>
  </si>
  <si>
    <t xml:space="preserve">Cedar Dynamics</t>
  </si>
  <si>
    <t xml:space="preserve">CD-00330</t>
  </si>
  <si>
    <t xml:space="preserve">CD-00331</t>
  </si>
  <si>
    <t xml:space="preserve">CD-00332</t>
  </si>
  <si>
    <t xml:space="preserve">CD-00333</t>
  </si>
  <si>
    <t xml:space="preserve">CD-00334</t>
  </si>
  <si>
    <t xml:space="preserve">CD-00335</t>
  </si>
  <si>
    <t xml:space="preserve">CD-00336</t>
  </si>
  <si>
    <t xml:space="preserve">CD-00337</t>
  </si>
  <si>
    <t xml:space="preserve">CLI-0020</t>
  </si>
  <si>
    <t xml:space="preserve">Pioneer Solutions</t>
  </si>
  <si>
    <t xml:space="preserve">CD-00338</t>
  </si>
  <si>
    <t xml:space="preserve">CD-00339</t>
  </si>
  <si>
    <t xml:space="preserve">CD-00340</t>
  </si>
  <si>
    <t xml:space="preserve">CD-00341</t>
  </si>
  <si>
    <t xml:space="preserve">CD-00342</t>
  </si>
  <si>
    <t xml:space="preserve">CD-00343</t>
  </si>
  <si>
    <t xml:space="preserve">CD-00344</t>
  </si>
  <si>
    <t xml:space="preserve">CLI-0090</t>
  </si>
  <si>
    <t xml:space="preserve">Horizon Networks</t>
  </si>
  <si>
    <t xml:space="preserve">CD-00345</t>
  </si>
  <si>
    <t xml:space="preserve">CD-00346</t>
  </si>
  <si>
    <t xml:space="preserve">CD-00347</t>
  </si>
  <si>
    <t xml:space="preserve">CD-00348</t>
  </si>
  <si>
    <t xml:space="preserve">CD-00349</t>
  </si>
  <si>
    <t xml:space="preserve">CD-00350</t>
  </si>
  <si>
    <t xml:space="preserve">CD-00351</t>
  </si>
  <si>
    <t xml:space="preserve">CD-00352</t>
  </si>
  <si>
    <t xml:space="preserve">CD-00353</t>
  </si>
  <si>
    <t xml:space="preserve">CD-00354</t>
  </si>
  <si>
    <t xml:space="preserve">CD-00355</t>
  </si>
  <si>
    <t xml:space="preserve">CD-00356</t>
  </si>
  <si>
    <t xml:space="preserve">CLI-0160</t>
  </si>
  <si>
    <t xml:space="preserve">Bridgeway Foods</t>
  </si>
  <si>
    <t xml:space="preserve">CD-00357</t>
  </si>
  <si>
    <t xml:space="preserve">CD-00358</t>
  </si>
  <si>
    <t xml:space="preserve">CLI-0082</t>
  </si>
  <si>
    <t xml:space="preserve">Apex Systems</t>
  </si>
  <si>
    <t xml:space="preserve">CD-00359</t>
  </si>
  <si>
    <t xml:space="preserve">CD-00360</t>
  </si>
  <si>
    <t xml:space="preserve">CLI-0031</t>
  </si>
  <si>
    <t xml:space="preserve">Pinnacle Industries</t>
  </si>
  <si>
    <t xml:space="preserve">CD-00361</t>
  </si>
  <si>
    <t xml:space="preserve">CD-00362</t>
  </si>
  <si>
    <t xml:space="preserve">CD-00363</t>
  </si>
  <si>
    <t xml:space="preserve">CD-00364</t>
  </si>
  <si>
    <t xml:space="preserve">CLI-0228</t>
  </si>
  <si>
    <t xml:space="preserve">Redwood Bank</t>
  </si>
  <si>
    <t xml:space="preserve">CD-00365</t>
  </si>
  <si>
    <t xml:space="preserve">CD-00366</t>
  </si>
  <si>
    <t xml:space="preserve">CD-00367</t>
  </si>
  <si>
    <t xml:space="preserve">CD-00368</t>
  </si>
  <si>
    <t xml:space="preserve">CD-00369</t>
  </si>
  <si>
    <t xml:space="preserve">CLI-0036</t>
  </si>
  <si>
    <t xml:space="preserve">Falcon Motors</t>
  </si>
  <si>
    <t xml:space="preserve">CD-00370</t>
  </si>
  <si>
    <t xml:space="preserve">CD-00371</t>
  </si>
  <si>
    <t xml:space="preserve">CD-00372</t>
  </si>
  <si>
    <t xml:space="preserve">CD-00373</t>
  </si>
  <si>
    <t xml:space="preserve">CLI-0112</t>
  </si>
  <si>
    <t xml:space="preserve">Crown Enterprises</t>
  </si>
  <si>
    <t xml:space="preserve">CD-00374</t>
  </si>
  <si>
    <t xml:space="preserve">CD-00375</t>
  </si>
  <si>
    <t xml:space="preserve">CD-00376</t>
  </si>
  <si>
    <t xml:space="preserve">CLI-0159</t>
  </si>
  <si>
    <t xml:space="preserve">Delta Retail</t>
  </si>
  <si>
    <t xml:space="preserve">CD-00377</t>
  </si>
  <si>
    <t xml:space="preserve">CD-00378</t>
  </si>
  <si>
    <t xml:space="preserve">CD-00379</t>
  </si>
  <si>
    <t xml:space="preserve">CLI-0135</t>
  </si>
  <si>
    <t xml:space="preserve">Cedar Telecom</t>
  </si>
  <si>
    <t xml:space="preserve">CD-00380</t>
  </si>
  <si>
    <t xml:space="preserve">CD-00381</t>
  </si>
  <si>
    <t xml:space="preserve">CD-00382</t>
  </si>
  <si>
    <t xml:space="preserve">CD-00383</t>
  </si>
  <si>
    <t xml:space="preserve">CD-00384</t>
  </si>
  <si>
    <t xml:space="preserve">CD-00385</t>
  </si>
  <si>
    <t xml:space="preserve">CD-00386</t>
  </si>
  <si>
    <t xml:space="preserve">CD-00387</t>
  </si>
  <si>
    <t xml:space="preserve">CD-00388</t>
  </si>
  <si>
    <t xml:space="preserve">CLI-0207</t>
  </si>
  <si>
    <t xml:space="preserve">Vertex Logistics</t>
  </si>
  <si>
    <t xml:space="preserve">CD-00389</t>
  </si>
  <si>
    <t xml:space="preserve">CD-00390</t>
  </si>
  <si>
    <t xml:space="preserve">CD-00391</t>
  </si>
  <si>
    <t xml:space="preserve">CD-00392</t>
  </si>
  <si>
    <t xml:space="preserve">CD-00393</t>
  </si>
  <si>
    <t xml:space="preserve">CD-00394</t>
  </si>
  <si>
    <t xml:space="preserve">CD-00395</t>
  </si>
  <si>
    <t xml:space="preserve">CD-00396</t>
  </si>
  <si>
    <t xml:space="preserve">CLI-0039</t>
  </si>
  <si>
    <t xml:space="preserve">North Telecom</t>
  </si>
  <si>
    <t xml:space="preserve">CD-00397</t>
  </si>
  <si>
    <t xml:space="preserve">CD-00398</t>
  </si>
  <si>
    <t xml:space="preserve">CLI-0131</t>
  </si>
  <si>
    <t xml:space="preserve">Redwood Logistics</t>
  </si>
  <si>
    <t xml:space="preserve">CD-00399</t>
  </si>
  <si>
    <t xml:space="preserve">CD-00400</t>
  </si>
  <si>
    <t xml:space="preserve">CD-00401</t>
  </si>
  <si>
    <t xml:space="preserve">CD-00402</t>
  </si>
  <si>
    <t xml:space="preserve">CD-00403</t>
  </si>
  <si>
    <t xml:space="preserve">CLI-0057</t>
  </si>
  <si>
    <t xml:space="preserve">North Retail</t>
  </si>
  <si>
    <t xml:space="preserve">CD-00404</t>
  </si>
  <si>
    <t xml:space="preserve">CD-00405</t>
  </si>
  <si>
    <t xml:space="preserve">CLI-0104</t>
  </si>
  <si>
    <t xml:space="preserve">North Materials</t>
  </si>
  <si>
    <t xml:space="preserve">CD-00406</t>
  </si>
  <si>
    <t xml:space="preserve">CD-00407</t>
  </si>
  <si>
    <t xml:space="preserve">CD-00408</t>
  </si>
  <si>
    <t xml:space="preserve">CD-00409</t>
  </si>
  <si>
    <t xml:space="preserve">CD-00410</t>
  </si>
  <si>
    <t xml:space="preserve">CD-00411</t>
  </si>
  <si>
    <t xml:space="preserve">CD-00412</t>
  </si>
  <si>
    <t xml:space="preserve">CD-00413</t>
  </si>
  <si>
    <t xml:space="preserve">CD-00414</t>
  </si>
  <si>
    <t xml:space="preserve">CD-00415</t>
  </si>
  <si>
    <t xml:space="preserve">CD-00416</t>
  </si>
  <si>
    <t xml:space="preserve">CD-00417</t>
  </si>
  <si>
    <t xml:space="preserve">CD-00418</t>
  </si>
  <si>
    <t xml:space="preserve">CD-00419</t>
  </si>
  <si>
    <t xml:space="preserve">CD-00420</t>
  </si>
  <si>
    <t xml:space="preserve">CD-00421</t>
  </si>
  <si>
    <t xml:space="preserve">CLI-0252</t>
  </si>
  <si>
    <t xml:space="preserve">Delta Motors</t>
  </si>
  <si>
    <t xml:space="preserve">CD-00422</t>
  </si>
  <si>
    <t xml:space="preserve">CD-00423</t>
  </si>
  <si>
    <t xml:space="preserve">CD-00424</t>
  </si>
  <si>
    <t xml:space="preserve">CD-00425</t>
  </si>
  <si>
    <t xml:space="preserve">CD-00426</t>
  </si>
  <si>
    <t xml:space="preserve">CD-00427</t>
  </si>
  <si>
    <t xml:space="preserve">CLI-0171</t>
  </si>
  <si>
    <t xml:space="preserve">Apex Dynamics</t>
  </si>
  <si>
    <t xml:space="preserve">CD-00428</t>
  </si>
  <si>
    <t xml:space="preserve">CD-00429</t>
  </si>
  <si>
    <t xml:space="preserve">CD-00430</t>
  </si>
  <si>
    <t xml:space="preserve">CD-00431</t>
  </si>
  <si>
    <t xml:space="preserve">CD-00432</t>
  </si>
  <si>
    <t xml:space="preserve">CLI-0015</t>
  </si>
  <si>
    <t xml:space="preserve">Atlas Materials</t>
  </si>
  <si>
    <t xml:space="preserve">CD-00433</t>
  </si>
  <si>
    <t xml:space="preserve">CD-00434</t>
  </si>
  <si>
    <t xml:space="preserve">CLI-0077</t>
  </si>
  <si>
    <t xml:space="preserve">Meridian Partners</t>
  </si>
  <si>
    <t xml:space="preserve">CD-00435</t>
  </si>
  <si>
    <t xml:space="preserve">CLI-0201</t>
  </si>
  <si>
    <t xml:space="preserve">Orion Motors</t>
  </si>
  <si>
    <t xml:space="preserve">CD-00436</t>
  </si>
  <si>
    <t xml:space="preserve">CLI-0254</t>
  </si>
  <si>
    <t xml:space="preserve">Cedar Technologies</t>
  </si>
  <si>
    <t xml:space="preserve">CD-00437</t>
  </si>
  <si>
    <t xml:space="preserve">CD-00438</t>
  </si>
  <si>
    <t xml:space="preserve">CD-00439</t>
  </si>
  <si>
    <t xml:space="preserve">CD-00440</t>
  </si>
  <si>
    <t xml:space="preserve">CD-00441</t>
  </si>
  <si>
    <t xml:space="preserve">CD-00442</t>
  </si>
  <si>
    <t xml:space="preserve">CD-00443</t>
  </si>
  <si>
    <t xml:space="preserve">CD-00444</t>
  </si>
  <si>
    <t xml:space="preserve">CD-00445</t>
  </si>
  <si>
    <t xml:space="preserve">CD-00446</t>
  </si>
  <si>
    <t xml:space="preserve">CD-00447</t>
  </si>
  <si>
    <t xml:space="preserve">CD-00448</t>
  </si>
  <si>
    <t xml:space="preserve">CLI-0204</t>
  </si>
  <si>
    <t xml:space="preserve">Falcon Enterprises</t>
  </si>
  <si>
    <t xml:space="preserve">CD-00449</t>
  </si>
  <si>
    <t xml:space="preserve">CD-00450</t>
  </si>
  <si>
    <t xml:space="preserve">CD-00451</t>
  </si>
  <si>
    <t xml:space="preserve">CD-00452</t>
  </si>
  <si>
    <t xml:space="preserve">CD-00453</t>
  </si>
  <si>
    <t xml:space="preserve">CLI-0182</t>
  </si>
  <si>
    <t xml:space="preserve">Union Technologies</t>
  </si>
  <si>
    <t xml:space="preserve">CD-00454</t>
  </si>
  <si>
    <t xml:space="preserve">CD-00455</t>
  </si>
  <si>
    <t xml:space="preserve">CD-00456</t>
  </si>
  <si>
    <t xml:space="preserve">CD-00457</t>
  </si>
  <si>
    <t xml:space="preserve">CD-00458</t>
  </si>
  <si>
    <t xml:space="preserve">CD-00459</t>
  </si>
  <si>
    <t xml:space="preserve">CD-00460</t>
  </si>
  <si>
    <t xml:space="preserve">CD-00461</t>
  </si>
  <si>
    <t xml:space="preserve">CD-00462</t>
  </si>
  <si>
    <t xml:space="preserve">CD-00463</t>
  </si>
  <si>
    <t xml:space="preserve">CD-00464</t>
  </si>
  <si>
    <t xml:space="preserve">CD-00465</t>
  </si>
  <si>
    <t xml:space="preserve">CD-00466</t>
  </si>
  <si>
    <t xml:space="preserve">CD-00467</t>
  </si>
  <si>
    <t xml:space="preserve">CD-00468</t>
  </si>
  <si>
    <t xml:space="preserve">CD-00469</t>
  </si>
  <si>
    <t xml:space="preserve">CD-00470</t>
  </si>
  <si>
    <t xml:space="preserve">CLI-0115</t>
  </si>
  <si>
    <t xml:space="preserve">North Energy</t>
  </si>
  <si>
    <t xml:space="preserve">CD-00471</t>
  </si>
  <si>
    <t xml:space="preserve">CD-00472</t>
  </si>
  <si>
    <t xml:space="preserve">CD-00473</t>
  </si>
  <si>
    <t xml:space="preserve">CD-00474</t>
  </si>
  <si>
    <t xml:space="preserve">CLI-0212</t>
  </si>
  <si>
    <t xml:space="preserve">Silver Retail</t>
  </si>
  <si>
    <t xml:space="preserve">CD-00475</t>
  </si>
  <si>
    <t xml:space="preserve">CD-00476</t>
  </si>
  <si>
    <t xml:space="preserve">CD-00477</t>
  </si>
  <si>
    <t xml:space="preserve">CD-00478</t>
  </si>
  <si>
    <t xml:space="preserve">CD-00479</t>
  </si>
  <si>
    <t xml:space="preserve">CLI-0089</t>
  </si>
  <si>
    <t xml:space="preserve">Continental Capital</t>
  </si>
  <si>
    <t xml:space="preserve">CD-00480</t>
  </si>
  <si>
    <t xml:space="preserve">CD-00481</t>
  </si>
  <si>
    <t xml:space="preserve">CD-00482</t>
  </si>
  <si>
    <t xml:space="preserve">CD-00483</t>
  </si>
  <si>
    <t xml:space="preserve">CD-00484</t>
  </si>
  <si>
    <t xml:space="preserve">CD-00485</t>
  </si>
  <si>
    <t xml:space="preserve">CD-00486</t>
  </si>
  <si>
    <t xml:space="preserve">CD-00487</t>
  </si>
  <si>
    <t xml:space="preserve">CD-00488</t>
  </si>
  <si>
    <t xml:space="preserve">CD-00489</t>
  </si>
  <si>
    <t xml:space="preserve">CD-00490</t>
  </si>
  <si>
    <t xml:space="preserve">CLI-0239</t>
  </si>
  <si>
    <t xml:space="preserve">Crown Technologies</t>
  </si>
  <si>
    <t xml:space="preserve">CD-00491</t>
  </si>
  <si>
    <t xml:space="preserve">CLI-0165</t>
  </si>
  <si>
    <t xml:space="preserve">Summit Enterprises</t>
  </si>
  <si>
    <t xml:space="preserve">CD-00492</t>
  </si>
  <si>
    <t xml:space="preserve">CD-00493</t>
  </si>
  <si>
    <t xml:space="preserve">CLI-0224</t>
  </si>
  <si>
    <t xml:space="preserve">Orion Holdings</t>
  </si>
  <si>
    <t xml:space="preserve">CD-00494</t>
  </si>
  <si>
    <t xml:space="preserve">CD-00495</t>
  </si>
  <si>
    <t xml:space="preserve">CD-00496</t>
  </si>
  <si>
    <t xml:space="preserve">CD-00497</t>
  </si>
  <si>
    <t xml:space="preserve">CD-00498</t>
  </si>
  <si>
    <t xml:space="preserve">CD-00499</t>
  </si>
  <si>
    <t xml:space="preserve">CD-00500</t>
  </si>
  <si>
    <t xml:space="preserve">CD-00501</t>
  </si>
  <si>
    <t xml:space="preserve">CD-00502</t>
  </si>
  <si>
    <t xml:space="preserve">CD-00503</t>
  </si>
  <si>
    <t xml:space="preserve">CLI-0231</t>
  </si>
  <si>
    <t xml:space="preserve">Lakeside Foods</t>
  </si>
  <si>
    <t xml:space="preserve">CD-00504</t>
  </si>
  <si>
    <t xml:space="preserve">CD-00505</t>
  </si>
  <si>
    <t xml:space="preserve">CD-00506</t>
  </si>
  <si>
    <t xml:space="preserve">CD-00507</t>
  </si>
  <si>
    <t xml:space="preserve">CD-00508</t>
  </si>
  <si>
    <t xml:space="preserve">CD-00509</t>
  </si>
  <si>
    <t xml:space="preserve">CD-00510</t>
  </si>
  <si>
    <t xml:space="preserve">CD-00511</t>
  </si>
  <si>
    <t xml:space="preserve">CD-00512</t>
  </si>
  <si>
    <t xml:space="preserve">CD-00513</t>
  </si>
  <si>
    <t xml:space="preserve">CLI-0179</t>
  </si>
  <si>
    <t xml:space="preserve">Silver Networks</t>
  </si>
  <si>
    <t xml:space="preserve">CD-00514</t>
  </si>
  <si>
    <t xml:space="preserve">CD-00515</t>
  </si>
  <si>
    <t xml:space="preserve">CD-00516</t>
  </si>
  <si>
    <t xml:space="preserve">CD-00517</t>
  </si>
  <si>
    <t xml:space="preserve">CD-00518</t>
  </si>
  <si>
    <t xml:space="preserve">CD-00519</t>
  </si>
  <si>
    <t xml:space="preserve">CD-00520</t>
  </si>
  <si>
    <t xml:space="preserve">CD-00521</t>
  </si>
  <si>
    <t xml:space="preserve">CD-00522</t>
  </si>
  <si>
    <t xml:space="preserve">CD-00523</t>
  </si>
  <si>
    <t xml:space="preserve">CD-00524</t>
  </si>
  <si>
    <t xml:space="preserve">CD-00525</t>
  </si>
  <si>
    <t xml:space="preserve">CD-00526</t>
  </si>
  <si>
    <t xml:space="preserve">CD-00527</t>
  </si>
  <si>
    <t xml:space="preserve">CD-00528</t>
  </si>
  <si>
    <t xml:space="preserve">CD-00529</t>
  </si>
  <si>
    <t xml:space="preserve">CD-00530</t>
  </si>
  <si>
    <t xml:space="preserve">CD-00531</t>
  </si>
  <si>
    <t xml:space="preserve">CD-00532</t>
  </si>
  <si>
    <t xml:space="preserve">CD-00533</t>
  </si>
  <si>
    <t xml:space="preserve">CD-00534</t>
  </si>
  <si>
    <t xml:space="preserve">CD-00535</t>
  </si>
  <si>
    <t xml:space="preserve">CD-00536</t>
  </si>
  <si>
    <t xml:space="preserve">CLI-0084</t>
  </si>
  <si>
    <t xml:space="preserve">Bridgeway Logistics</t>
  </si>
  <si>
    <t xml:space="preserve">CD-00537</t>
  </si>
  <si>
    <t xml:space="preserve">CD-00538</t>
  </si>
  <si>
    <t xml:space="preserve">CD-00539</t>
  </si>
  <si>
    <t xml:space="preserve">CLI-0168</t>
  </si>
  <si>
    <t xml:space="preserve">Sterling Capital</t>
  </si>
  <si>
    <t xml:space="preserve">CD-00540</t>
  </si>
  <si>
    <t xml:space="preserve">CLI-0063</t>
  </si>
  <si>
    <t xml:space="preserve">Highland Motors</t>
  </si>
  <si>
    <t xml:space="preserve">CD-00541</t>
  </si>
  <si>
    <t xml:space="preserve">CD-00542</t>
  </si>
  <si>
    <t xml:space="preserve">CD-00543</t>
  </si>
  <si>
    <t xml:space="preserve">CD-00544</t>
  </si>
  <si>
    <t xml:space="preserve">CD-00545</t>
  </si>
  <si>
    <t xml:space="preserve">CD-00546</t>
  </si>
  <si>
    <t xml:space="preserve">CD-00547</t>
  </si>
  <si>
    <t xml:space="preserve">CD-00548</t>
  </si>
  <si>
    <t xml:space="preserve">CLI-0120</t>
  </si>
  <si>
    <t xml:space="preserve">Harbor Motors</t>
  </si>
  <si>
    <t xml:space="preserve">CD-00549</t>
  </si>
  <si>
    <t xml:space="preserve">CD-00550</t>
  </si>
  <si>
    <t xml:space="preserve">CD-00551</t>
  </si>
  <si>
    <t xml:space="preserve">CLI-0070</t>
  </si>
  <si>
    <t xml:space="preserve">Beacon Foods</t>
  </si>
  <si>
    <t xml:space="preserve">CD-00552</t>
  </si>
  <si>
    <t xml:space="preserve">CD-00553</t>
  </si>
  <si>
    <t xml:space="preserve">CD-00554</t>
  </si>
  <si>
    <t xml:space="preserve">CD-00555</t>
  </si>
  <si>
    <t xml:space="preserve">CLI-0030</t>
  </si>
  <si>
    <t xml:space="preserve">Delta Holdings</t>
  </si>
  <si>
    <t xml:space="preserve">CD-00556</t>
  </si>
  <si>
    <t xml:space="preserve">CD-00557</t>
  </si>
  <si>
    <t xml:space="preserve">CD-00558</t>
  </si>
  <si>
    <t xml:space="preserve">CD-00559</t>
  </si>
  <si>
    <t xml:space="preserve">CD-00560</t>
  </si>
  <si>
    <t xml:space="preserve">CD-00561</t>
  </si>
  <si>
    <t xml:space="preserve">CD-00562</t>
  </si>
  <si>
    <t xml:space="preserve">CD-00563</t>
  </si>
  <si>
    <t xml:space="preserve">CD-00564</t>
  </si>
  <si>
    <t xml:space="preserve">CD-00565</t>
  </si>
  <si>
    <t xml:space="preserve">CD-00566</t>
  </si>
  <si>
    <t xml:space="preserve">CD-00567</t>
  </si>
  <si>
    <t xml:space="preserve">CD-00568</t>
  </si>
  <si>
    <t xml:space="preserve">CD-00569</t>
  </si>
  <si>
    <t xml:space="preserve">CD-00570</t>
  </si>
  <si>
    <t xml:space="preserve">CD-00571</t>
  </si>
  <si>
    <t xml:space="preserve">CD-00572</t>
  </si>
  <si>
    <t xml:space="preserve">CD-00573</t>
  </si>
  <si>
    <t xml:space="preserve">CD-00574</t>
  </si>
  <si>
    <t xml:space="preserve">CD-00575</t>
  </si>
  <si>
    <t xml:space="preserve">CD-00576</t>
  </si>
  <si>
    <t xml:space="preserve">CD-00577</t>
  </si>
  <si>
    <t xml:space="preserve">CD-00578</t>
  </si>
  <si>
    <t xml:space="preserve">CD-00579</t>
  </si>
  <si>
    <t xml:space="preserve">CD-00580</t>
  </si>
  <si>
    <t xml:space="preserve">CD-00581</t>
  </si>
  <si>
    <t xml:space="preserve">CD-00582</t>
  </si>
  <si>
    <t xml:space="preserve">CD-00583</t>
  </si>
  <si>
    <t xml:space="preserve">CD-00584</t>
  </si>
  <si>
    <t xml:space="preserve">CLI-0210</t>
  </si>
  <si>
    <t xml:space="preserve">Horizon Health</t>
  </si>
  <si>
    <t xml:space="preserve">CD-00585</t>
  </si>
  <si>
    <t xml:space="preserve">CD-00586</t>
  </si>
  <si>
    <t xml:space="preserve">CD-00587</t>
  </si>
  <si>
    <t xml:space="preserve">CD-00588</t>
  </si>
  <si>
    <t xml:space="preserve">CD-00589</t>
  </si>
  <si>
    <t xml:space="preserve">CD-00590</t>
  </si>
  <si>
    <t xml:space="preserve">CLI-0199</t>
  </si>
  <si>
    <t xml:space="preserve">Falcon Energy</t>
  </si>
  <si>
    <t xml:space="preserve">CD-00591</t>
  </si>
  <si>
    <t xml:space="preserve">CD-00592</t>
  </si>
  <si>
    <t xml:space="preserve">CD-00593</t>
  </si>
  <si>
    <t xml:space="preserve">CD-00594</t>
  </si>
  <si>
    <t xml:space="preserve">CD-00595</t>
  </si>
  <si>
    <t xml:space="preserve">CD-00596</t>
  </si>
  <si>
    <t xml:space="preserve">CD-00597</t>
  </si>
  <si>
    <t xml:space="preserve">CD-00598</t>
  </si>
  <si>
    <t xml:space="preserve">CD-00599</t>
  </si>
  <si>
    <t xml:space="preserve">CD-00600</t>
  </si>
  <si>
    <t xml:space="preserve">CD-00601</t>
  </si>
  <si>
    <t xml:space="preserve">CD-00602</t>
  </si>
  <si>
    <t xml:space="preserve">CD-00603</t>
  </si>
  <si>
    <t xml:space="preserve">CD-00604</t>
  </si>
  <si>
    <t xml:space="preserve">CD-00605</t>
  </si>
  <si>
    <t xml:space="preserve">CD-00606</t>
  </si>
  <si>
    <t xml:space="preserve">CD-00607</t>
  </si>
  <si>
    <t xml:space="preserve">CD-00608</t>
  </si>
  <si>
    <t xml:space="preserve">CD-00609</t>
  </si>
  <si>
    <t xml:space="preserve">CD-00610</t>
  </si>
  <si>
    <t xml:space="preserve">CD-00611</t>
  </si>
  <si>
    <t xml:space="preserve">CD-00612</t>
  </si>
  <si>
    <t xml:space="preserve">CD-00613</t>
  </si>
  <si>
    <t xml:space="preserve">CD-00614</t>
  </si>
  <si>
    <t xml:space="preserve">CD-00615</t>
  </si>
  <si>
    <t xml:space="preserve">CD-00616</t>
  </si>
  <si>
    <t xml:space="preserve">CD-00617</t>
  </si>
  <si>
    <t xml:space="preserve">CD-00618</t>
  </si>
  <si>
    <t xml:space="preserve">CD-00619</t>
  </si>
  <si>
    <t xml:space="preserve">CD-00620</t>
  </si>
  <si>
    <t xml:space="preserve">CD-00621</t>
  </si>
  <si>
    <t xml:space="preserve">CD-00622</t>
  </si>
  <si>
    <t xml:space="preserve">CD-00623</t>
  </si>
  <si>
    <t xml:space="preserve">CD-00624</t>
  </si>
  <si>
    <t xml:space="preserve">CD-00625</t>
  </si>
  <si>
    <t xml:space="preserve">CD-00626</t>
  </si>
  <si>
    <t xml:space="preserve">CD-00627</t>
  </si>
  <si>
    <t xml:space="preserve">CD-00628</t>
  </si>
  <si>
    <t xml:space="preserve">CD-00629</t>
  </si>
  <si>
    <t xml:space="preserve">CD-00630</t>
  </si>
  <si>
    <t xml:space="preserve">CD-00631</t>
  </si>
  <si>
    <t xml:space="preserve">CD-00632</t>
  </si>
  <si>
    <t xml:space="preserve">CD-00633</t>
  </si>
  <si>
    <t xml:space="preserve">CD-00634</t>
  </si>
  <si>
    <t xml:space="preserve">CD-00635</t>
  </si>
  <si>
    <t xml:space="preserve">CD-00636</t>
  </si>
  <si>
    <t xml:space="preserve">CD-00637</t>
  </si>
  <si>
    <t xml:space="preserve">CD-00638</t>
  </si>
  <si>
    <t xml:space="preserve">CD-00639</t>
  </si>
  <si>
    <t xml:space="preserve">CD-00640</t>
  </si>
  <si>
    <t xml:space="preserve">CD-00641</t>
  </si>
  <si>
    <t xml:space="preserve">CD-00642</t>
  </si>
  <si>
    <t xml:space="preserve">CLI-0114</t>
  </si>
  <si>
    <t xml:space="preserve">Ironclad Capital</t>
  </si>
  <si>
    <t xml:space="preserve">CD-00643</t>
  </si>
  <si>
    <t xml:space="preserve">CD-00644</t>
  </si>
  <si>
    <t xml:space="preserve">CD-00645</t>
  </si>
  <si>
    <t xml:space="preserve">CD-00646</t>
  </si>
  <si>
    <t xml:space="preserve">CLI-0065</t>
  </si>
  <si>
    <t xml:space="preserve">Beacon Enterprises</t>
  </si>
  <si>
    <t xml:space="preserve">CD-00647</t>
  </si>
  <si>
    <t xml:space="preserve">CD-00648</t>
  </si>
  <si>
    <t xml:space="preserve">CD-00649</t>
  </si>
  <si>
    <t xml:space="preserve">CD-00650</t>
  </si>
  <si>
    <t xml:space="preserve">CD-00651</t>
  </si>
  <si>
    <t xml:space="preserve">CD-00652</t>
  </si>
  <si>
    <t xml:space="preserve">CD-00653</t>
  </si>
  <si>
    <t xml:space="preserve">CD-00654</t>
  </si>
  <si>
    <t xml:space="preserve">CD-00655</t>
  </si>
  <si>
    <t xml:space="preserve">CD-00656</t>
  </si>
  <si>
    <t xml:space="preserve">CD-00657</t>
  </si>
  <si>
    <t xml:space="preserve">CD-00658</t>
  </si>
  <si>
    <t xml:space="preserve">CD-00659</t>
  </si>
  <si>
    <t xml:space="preserve">CD-00660</t>
  </si>
  <si>
    <t xml:space="preserve">CD-00661</t>
  </si>
  <si>
    <t xml:space="preserve">CD-00662</t>
  </si>
  <si>
    <t xml:space="preserve">CD-00663</t>
  </si>
  <si>
    <t xml:space="preserve">CD-00664</t>
  </si>
  <si>
    <t xml:space="preserve">CD-00665</t>
  </si>
  <si>
    <t xml:space="preserve">CD-00666</t>
  </si>
  <si>
    <t xml:space="preserve">CD-00667</t>
  </si>
  <si>
    <t xml:space="preserve">CD-00668</t>
  </si>
  <si>
    <t xml:space="preserve">CD-00669</t>
  </si>
  <si>
    <t xml:space="preserve">CD-00670</t>
  </si>
  <si>
    <t xml:space="preserve">CD-00671</t>
  </si>
  <si>
    <t xml:space="preserve">CD-00672</t>
  </si>
  <si>
    <t xml:space="preserve">CD-00673</t>
  </si>
  <si>
    <t xml:space="preserve">CD-00674</t>
  </si>
  <si>
    <t xml:space="preserve">CD-00675</t>
  </si>
  <si>
    <t xml:space="preserve">CD-00676</t>
  </si>
  <si>
    <t xml:space="preserve">CD-00677</t>
  </si>
  <si>
    <t xml:space="preserve">CD-00678</t>
  </si>
  <si>
    <t xml:space="preserve">CD-00679</t>
  </si>
  <si>
    <t xml:space="preserve">CD-00680</t>
  </si>
  <si>
    <t xml:space="preserve">CD-00681</t>
  </si>
  <si>
    <t xml:space="preserve">CD-00682</t>
  </si>
  <si>
    <t xml:space="preserve">CLI-0116</t>
  </si>
  <si>
    <t xml:space="preserve">Union Telecom</t>
  </si>
  <si>
    <t xml:space="preserve">CD-00683</t>
  </si>
  <si>
    <t xml:space="preserve">CD-00684</t>
  </si>
  <si>
    <t xml:space="preserve">CD-00685</t>
  </si>
  <si>
    <t xml:space="preserve">CD-00686</t>
  </si>
  <si>
    <t xml:space="preserve">CD-00687</t>
  </si>
  <si>
    <t xml:space="preserve">CD-00688</t>
  </si>
  <si>
    <t xml:space="preserve">CD-00689</t>
  </si>
  <si>
    <t xml:space="preserve">CD-00690</t>
  </si>
  <si>
    <t xml:space="preserve">CD-00691</t>
  </si>
  <si>
    <t xml:space="preserve">CD-00692</t>
  </si>
  <si>
    <t xml:space="preserve">CD-00693</t>
  </si>
  <si>
    <t xml:space="preserve">CD-00694</t>
  </si>
  <si>
    <t xml:space="preserve">CD-00695</t>
  </si>
  <si>
    <t xml:space="preserve">CD-00696</t>
  </si>
  <si>
    <t xml:space="preserve">CD-00697</t>
  </si>
  <si>
    <t xml:space="preserve">CD-00698</t>
  </si>
  <si>
    <t xml:space="preserve">CD-00699</t>
  </si>
  <si>
    <t xml:space="preserve">CD-00700</t>
  </si>
  <si>
    <t xml:space="preserve">CD-00701</t>
  </si>
  <si>
    <t xml:space="preserve">CD-00702</t>
  </si>
  <si>
    <t xml:space="preserve">CD-00703</t>
  </si>
  <si>
    <t xml:space="preserve">CD-00704</t>
  </si>
  <si>
    <t xml:space="preserve">CLI-0251</t>
  </si>
  <si>
    <t xml:space="preserve">Silver Logistics</t>
  </si>
  <si>
    <t xml:space="preserve">CD-00705</t>
  </si>
  <si>
    <t xml:space="preserve">CD-00706</t>
  </si>
  <si>
    <t xml:space="preserve">CD-00707</t>
  </si>
  <si>
    <t xml:space="preserve">CD-00708</t>
  </si>
  <si>
    <t xml:space="preserve">CD-00709</t>
  </si>
  <si>
    <t xml:space="preserve">CD-00710</t>
  </si>
  <si>
    <t xml:space="preserve">CD-00711</t>
  </si>
  <si>
    <t xml:space="preserve">CD-00712</t>
  </si>
  <si>
    <t xml:space="preserve">CD-00713</t>
  </si>
  <si>
    <t xml:space="preserve">CD-00714</t>
  </si>
  <si>
    <t xml:space="preserve">CD-00715</t>
  </si>
  <si>
    <t xml:space="preserve">CD-00716</t>
  </si>
  <si>
    <t xml:space="preserve">CD-00717</t>
  </si>
  <si>
    <t xml:space="preserve">CD-00718</t>
  </si>
  <si>
    <t xml:space="preserve">CD-00719</t>
  </si>
  <si>
    <t xml:space="preserve">CD-00720</t>
  </si>
  <si>
    <t xml:space="preserve">CD-00721</t>
  </si>
  <si>
    <t xml:space="preserve">CD-00722</t>
  </si>
  <si>
    <t xml:space="preserve">CD-00723</t>
  </si>
  <si>
    <t xml:space="preserve">CLI-0105</t>
  </si>
  <si>
    <t xml:space="preserve">Sterling Health</t>
  </si>
  <si>
    <t xml:space="preserve">CD-00724</t>
  </si>
  <si>
    <t xml:space="preserve">CD-00725</t>
  </si>
  <si>
    <t xml:space="preserve">CD-00726</t>
  </si>
  <si>
    <t xml:space="preserve">CD-00727</t>
  </si>
  <si>
    <t xml:space="preserve">CD-00728</t>
  </si>
  <si>
    <t xml:space="preserve">CD-00729</t>
  </si>
  <si>
    <t xml:space="preserve">CD-00730</t>
  </si>
  <si>
    <t xml:space="preserve">CD-00731</t>
  </si>
  <si>
    <t xml:space="preserve">CD-00732</t>
  </si>
  <si>
    <t xml:space="preserve">CD-00733</t>
  </si>
  <si>
    <t xml:space="preserve">CD-00734</t>
  </si>
  <si>
    <t xml:space="preserve">CD-00735</t>
  </si>
  <si>
    <t xml:space="preserve">CD-00736</t>
  </si>
  <si>
    <t xml:space="preserve">CD-00737</t>
  </si>
  <si>
    <t xml:space="preserve">CD-00738</t>
  </si>
  <si>
    <t xml:space="preserve">CD-00739</t>
  </si>
  <si>
    <t xml:space="preserve">CD-00740</t>
  </si>
  <si>
    <t xml:space="preserve">CD-00741</t>
  </si>
  <si>
    <t xml:space="preserve">CD-00742</t>
  </si>
  <si>
    <t xml:space="preserve">CD-00743</t>
  </si>
  <si>
    <t xml:space="preserve">CD-00744</t>
  </si>
  <si>
    <t xml:space="preserve">CD-00745</t>
  </si>
  <si>
    <t xml:space="preserve">CD-00746</t>
  </si>
  <si>
    <t xml:space="preserve">CD-00747</t>
  </si>
  <si>
    <t xml:space="preserve">CD-00748</t>
  </si>
  <si>
    <t xml:space="preserve">CLI-0014</t>
  </si>
  <si>
    <t xml:space="preserve">Continental Networks</t>
  </si>
  <si>
    <t xml:space="preserve">CD-00749</t>
  </si>
  <si>
    <t xml:space="preserve">CD-00750</t>
  </si>
  <si>
    <t xml:space="preserve">CD-00751</t>
  </si>
  <si>
    <t xml:space="preserve">CD-00752</t>
  </si>
  <si>
    <t xml:space="preserve">CD-00753</t>
  </si>
  <si>
    <t xml:space="preserve">CD-00754</t>
  </si>
  <si>
    <t xml:space="preserve">CD-00755</t>
  </si>
  <si>
    <t xml:space="preserve">CD-00756</t>
  </si>
  <si>
    <t xml:space="preserve">CD-00757</t>
  </si>
  <si>
    <t xml:space="preserve">CD-00758</t>
  </si>
  <si>
    <t xml:space="preserve">CLI-0062</t>
  </si>
  <si>
    <t xml:space="preserve">Harbor Retail</t>
  </si>
  <si>
    <t xml:space="preserve">CD-00759</t>
  </si>
  <si>
    <t xml:space="preserve">CD-00760</t>
  </si>
  <si>
    <t xml:space="preserve">OP-0001</t>
  </si>
  <si>
    <t xml:space="preserve">Prospecting</t>
  </si>
  <si>
    <t xml:space="preserve">OP-0002</t>
  </si>
  <si>
    <t xml:space="preserve">OP-0003</t>
  </si>
  <si>
    <t xml:space="preserve">Qualification</t>
  </si>
  <si>
    <t xml:space="preserve">OP-0004</t>
  </si>
  <si>
    <t xml:space="preserve">CLI-0255</t>
  </si>
  <si>
    <t xml:space="preserve">Bridgeway Telecom</t>
  </si>
  <si>
    <t xml:space="preserve">OP-0005</t>
  </si>
  <si>
    <t xml:space="preserve">OP-0006</t>
  </si>
  <si>
    <t xml:space="preserve">OP-0007</t>
  </si>
  <si>
    <t xml:space="preserve">Proposal/Solutioning</t>
  </si>
  <si>
    <t xml:space="preserve">OP-0008</t>
  </si>
  <si>
    <t xml:space="preserve">OP-0009</t>
  </si>
  <si>
    <t xml:space="preserve">OP-0010</t>
  </si>
  <si>
    <t xml:space="preserve">Negotiation</t>
  </si>
  <si>
    <t xml:space="preserve">OP-0011</t>
  </si>
  <si>
    <t xml:space="preserve">OP-0012</t>
  </si>
  <si>
    <t xml:space="preserve">OP-0013</t>
  </si>
  <si>
    <t xml:space="preserve">OP-0014</t>
  </si>
  <si>
    <t xml:space="preserve">OP-0015</t>
  </si>
  <si>
    <t xml:space="preserve">OP-0016</t>
  </si>
  <si>
    <t xml:space="preserve">OP-0017</t>
  </si>
  <si>
    <t xml:space="preserve">CLI-0001</t>
  </si>
  <si>
    <t xml:space="preserve">Falcon Industries</t>
  </si>
  <si>
    <t xml:space="preserve">OP-0018</t>
  </si>
  <si>
    <t xml:space="preserve">OP-0019</t>
  </si>
  <si>
    <t xml:space="preserve">OP-0020</t>
  </si>
  <si>
    <t xml:space="preserve">OP-0021</t>
  </si>
  <si>
    <t xml:space="preserve">OP-0022</t>
  </si>
  <si>
    <t xml:space="preserve">OP-0023</t>
  </si>
  <si>
    <t xml:space="preserve">OP-0024</t>
  </si>
  <si>
    <t xml:space="preserve">OP-0025</t>
  </si>
  <si>
    <t xml:space="preserve">OP-0026</t>
  </si>
  <si>
    <t xml:space="preserve">OP-0027</t>
  </si>
  <si>
    <t xml:space="preserve">OP-0028</t>
  </si>
  <si>
    <t xml:space="preserve">OP-0029</t>
  </si>
  <si>
    <t xml:space="preserve">OP-0030</t>
  </si>
  <si>
    <t xml:space="preserve">OP-0031</t>
  </si>
  <si>
    <t xml:space="preserve">OP-0032</t>
  </si>
  <si>
    <t xml:space="preserve">OP-0033</t>
  </si>
  <si>
    <t xml:space="preserve">OP-0034</t>
  </si>
  <si>
    <t xml:space="preserve">OP-0035</t>
  </si>
  <si>
    <t xml:space="preserve">OP-0036</t>
  </si>
  <si>
    <t xml:space="preserve">OP-0037</t>
  </si>
  <si>
    <t xml:space="preserve">CLI-0075</t>
  </si>
  <si>
    <t xml:space="preserve">Metro Bank</t>
  </si>
  <si>
    <t xml:space="preserve">OP-0038</t>
  </si>
  <si>
    <t xml:space="preserve">OP-0039</t>
  </si>
  <si>
    <t xml:space="preserve">OP-0040</t>
  </si>
  <si>
    <t xml:space="preserve">OP-0041</t>
  </si>
  <si>
    <t xml:space="preserve">OP-0042</t>
  </si>
  <si>
    <t xml:space="preserve">OP-0043</t>
  </si>
  <si>
    <t xml:space="preserve">CLI-0196</t>
  </si>
  <si>
    <t xml:space="preserve">Harbor Dynamics</t>
  </si>
  <si>
    <t xml:space="preserve">OP-0044</t>
  </si>
  <si>
    <t xml:space="preserve">OP-0045</t>
  </si>
  <si>
    <t xml:space="preserve">OP-0046</t>
  </si>
  <si>
    <t xml:space="preserve">OP-0047</t>
  </si>
  <si>
    <t xml:space="preserve">OP-0048</t>
  </si>
  <si>
    <t xml:space="preserve">OP-0049</t>
  </si>
  <si>
    <t xml:space="preserve">OP-0050</t>
  </si>
  <si>
    <t xml:space="preserve">OP-0051</t>
  </si>
  <si>
    <t xml:space="preserve">CLI-0123</t>
  </si>
  <si>
    <t xml:space="preserve">Ironclad Group</t>
  </si>
  <si>
    <t xml:space="preserve">OP-0052</t>
  </si>
  <si>
    <t xml:space="preserve">OP-0053</t>
  </si>
  <si>
    <t xml:space="preserve">OP-0054</t>
  </si>
  <si>
    <t xml:space="preserve">OP-0055</t>
  </si>
  <si>
    <t xml:space="preserve">OP-0056</t>
  </si>
  <si>
    <t xml:space="preserve">OP-0057</t>
  </si>
  <si>
    <t xml:space="preserve">OP-0058</t>
  </si>
  <si>
    <t xml:space="preserve">OP-0059</t>
  </si>
  <si>
    <t xml:space="preserve">OP-0060</t>
  </si>
  <si>
    <t xml:space="preserve">OP-0061</t>
  </si>
  <si>
    <t xml:space="preserve">OP-0062</t>
  </si>
  <si>
    <t xml:space="preserve">OP-0063</t>
  </si>
  <si>
    <t xml:space="preserve">OP-0064</t>
  </si>
  <si>
    <t xml:space="preserve">OP-0065</t>
  </si>
  <si>
    <t xml:space="preserve">OP-0066</t>
  </si>
  <si>
    <t xml:space="preserve">OP-0067</t>
  </si>
  <si>
    <t xml:space="preserve">OP-0068</t>
  </si>
  <si>
    <t xml:space="preserve">OP-0069</t>
  </si>
  <si>
    <t xml:space="preserve">OP-0070</t>
  </si>
  <si>
    <t xml:space="preserve">OP-0071</t>
  </si>
  <si>
    <t xml:space="preserve">OP-0072</t>
  </si>
  <si>
    <t xml:space="preserve">OP-0073</t>
  </si>
  <si>
    <t xml:space="preserve">OP-0074</t>
  </si>
  <si>
    <t xml:space="preserve">OP-0075</t>
  </si>
  <si>
    <t xml:space="preserve">OP-0076</t>
  </si>
  <si>
    <t xml:space="preserve">OP-0077</t>
  </si>
  <si>
    <t xml:space="preserve">OP-0078</t>
  </si>
  <si>
    <t xml:space="preserve">OP-0079</t>
  </si>
  <si>
    <t xml:space="preserve">OP-0080</t>
  </si>
  <si>
    <t xml:space="preserve">OP-0081</t>
  </si>
  <si>
    <t xml:space="preserve">OP-0082</t>
  </si>
  <si>
    <t xml:space="preserve">OP-0083</t>
  </si>
  <si>
    <t xml:space="preserve">OP-0084</t>
  </si>
  <si>
    <t xml:space="preserve">OP-0085</t>
  </si>
  <si>
    <t xml:space="preserve">OP-0086</t>
  </si>
  <si>
    <t xml:space="preserve">OP-0087</t>
  </si>
  <si>
    <t xml:space="preserve">OP-0088</t>
  </si>
  <si>
    <t xml:space="preserve">OP-0089</t>
  </si>
  <si>
    <t xml:space="preserve">OP-0090</t>
  </si>
  <si>
    <t xml:space="preserve">OP-0091</t>
  </si>
  <si>
    <t xml:space="preserve">OP-0092</t>
  </si>
  <si>
    <t xml:space="preserve">CLI-0139</t>
  </si>
  <si>
    <t xml:space="preserve">Crown Dynamics</t>
  </si>
  <si>
    <t xml:space="preserve">OP-0093</t>
  </si>
  <si>
    <t xml:space="preserve">OP-0094</t>
  </si>
  <si>
    <t xml:space="preserve">OP-0095</t>
  </si>
  <si>
    <t xml:space="preserve">OP-0096</t>
  </si>
  <si>
    <t xml:space="preserve">OP-0097</t>
  </si>
  <si>
    <t xml:space="preserve">OP-0098</t>
  </si>
  <si>
    <t xml:space="preserve">OP-0099</t>
  </si>
  <si>
    <t xml:space="preserve">OP-0100</t>
  </si>
  <si>
    <t xml:space="preserve">OP-0101</t>
  </si>
  <si>
    <t xml:space="preserve">OP-0102</t>
  </si>
  <si>
    <t xml:space="preserve">OP-0103</t>
  </si>
  <si>
    <t xml:space="preserve">CLI-0032</t>
  </si>
  <si>
    <t xml:space="preserve">Delta Partners</t>
  </si>
  <si>
    <t xml:space="preserve">OP-0104</t>
  </si>
  <si>
    <t xml:space="preserve">OP-0105</t>
  </si>
  <si>
    <t xml:space="preserve">OP-0106</t>
  </si>
  <si>
    <t xml:space="preserve">OP-0107</t>
  </si>
  <si>
    <t xml:space="preserve">OP-0108</t>
  </si>
  <si>
    <t xml:space="preserve">OP-0109</t>
  </si>
  <si>
    <t xml:space="preserve">OP-0110</t>
  </si>
  <si>
    <t xml:space="preserve">OP-0111</t>
  </si>
  <si>
    <t xml:space="preserve">OP-0112</t>
  </si>
  <si>
    <t xml:space="preserve">OP-0113</t>
  </si>
  <si>
    <t xml:space="preserve">OP-0114</t>
  </si>
  <si>
    <t xml:space="preserve">OP-0115</t>
  </si>
  <si>
    <t xml:space="preserve">OP-0116</t>
  </si>
  <si>
    <t xml:space="preserve">OP-0117</t>
  </si>
  <si>
    <t xml:space="preserve">OP-0118</t>
  </si>
  <si>
    <t xml:space="preserve">OP-0119</t>
  </si>
  <si>
    <t xml:space="preserve">OP-0120</t>
  </si>
  <si>
    <t xml:space="preserve">OP-0121</t>
  </si>
  <si>
    <t xml:space="preserve">OP-0122</t>
  </si>
  <si>
    <t xml:space="preserve">OP-0123</t>
  </si>
  <si>
    <t xml:space="preserve">OP-0124</t>
  </si>
  <si>
    <t xml:space="preserve">OP-0125</t>
  </si>
  <si>
    <t xml:space="preserve">OP-0126</t>
  </si>
  <si>
    <t xml:space="preserve">OP-0127</t>
  </si>
  <si>
    <t xml:space="preserve">OP-0128</t>
  </si>
  <si>
    <t xml:space="preserve">OP-0129</t>
  </si>
  <si>
    <t xml:space="preserve">OP-0130</t>
  </si>
  <si>
    <t xml:space="preserve">OP-0131</t>
  </si>
  <si>
    <t xml:space="preserve">OP-0132</t>
  </si>
  <si>
    <t xml:space="preserve">CLI-0256</t>
  </si>
  <si>
    <t xml:space="preserve">Coastal Foods</t>
  </si>
  <si>
    <t xml:space="preserve">OP-0133</t>
  </si>
  <si>
    <t xml:space="preserve">OP-0134</t>
  </si>
  <si>
    <t xml:space="preserve">OP-0135</t>
  </si>
  <si>
    <t xml:space="preserve">OP-0136</t>
  </si>
  <si>
    <t xml:space="preserve">OP-0137</t>
  </si>
  <si>
    <t xml:space="preserve">OP-0138</t>
  </si>
  <si>
    <t xml:space="preserve">OP-0139</t>
  </si>
  <si>
    <t xml:space="preserve">OP-0140</t>
  </si>
  <si>
    <t xml:space="preserve">OP-0141</t>
  </si>
  <si>
    <t xml:space="preserve">OP-0142</t>
  </si>
  <si>
    <t xml:space="preserve">OP-0143</t>
  </si>
  <si>
    <t xml:space="preserve">OP-0144</t>
  </si>
  <si>
    <t xml:space="preserve">OP-0145</t>
  </si>
  <si>
    <t xml:space="preserve">OP-0146</t>
  </si>
  <si>
    <t xml:space="preserve">OP-0147</t>
  </si>
  <si>
    <t xml:space="preserve">OP-0148</t>
  </si>
  <si>
    <t xml:space="preserve">OP-0149</t>
  </si>
  <si>
    <t xml:space="preserve">OP-0150</t>
  </si>
  <si>
    <t xml:space="preserve">Total_Closed_Opportunities</t>
  </si>
  <si>
    <t xml:space="preserve">Deals_Won</t>
  </si>
  <si>
    <t xml:space="preserve">Deals_Lost</t>
  </si>
  <si>
    <t xml:space="preserve">Win_Rate</t>
  </si>
  <si>
    <t xml:space="preserve">Total_Revenue_Won</t>
  </si>
  <si>
    <t xml:space="preserve">Avg_Deal_Size_Won</t>
  </si>
  <si>
    <t xml:space="preserve">First_Project_End_Date</t>
  </si>
  <si>
    <t xml:space="preserve">Last_Project_End_Date</t>
  </si>
  <si>
    <t xml:space="preserve">Open_Pipeline_Count</t>
  </si>
  <si>
    <t xml:space="preserve">Open_Pipeline_Value</t>
  </si>
  <si>
    <t xml:space="preserve">Days_Since_Last_Project</t>
  </si>
  <si>
    <t xml:space="preserve">Repeat_Client</t>
  </si>
  <si>
    <t xml:space="preserve">Client_Status</t>
  </si>
  <si>
    <t xml:space="preserve">CLI-0004</t>
  </si>
  <si>
    <t xml:space="preserve">Falcon Bank</t>
  </si>
  <si>
    <t xml:space="preserve">CLI-0005</t>
  </si>
  <si>
    <t xml:space="preserve">Horizon Retail</t>
  </si>
  <si>
    <t xml:space="preserve">CLI-0008</t>
  </si>
  <si>
    <t xml:space="preserve">Harbor Materials</t>
  </si>
  <si>
    <t xml:space="preserve">CLI-0011</t>
  </si>
  <si>
    <t xml:space="preserve">Blue Materials</t>
  </si>
  <si>
    <t xml:space="preserve">CLI-0013</t>
  </si>
  <si>
    <t xml:space="preserve">Lakeside Telecom</t>
  </si>
  <si>
    <t xml:space="preserve">CLI-0024</t>
  </si>
  <si>
    <t xml:space="preserve">Horizon Energy</t>
  </si>
  <si>
    <t xml:space="preserve">CLI-0025</t>
  </si>
  <si>
    <t xml:space="preserve">Blue Group</t>
  </si>
  <si>
    <t xml:space="preserve">CLI-0029</t>
  </si>
  <si>
    <t xml:space="preserve">Blue Foods</t>
  </si>
  <si>
    <t xml:space="preserve">CLI-0033</t>
  </si>
  <si>
    <t xml:space="preserve">Falcon Dynamics</t>
  </si>
  <si>
    <t xml:space="preserve">CLI-0040</t>
  </si>
  <si>
    <t xml:space="preserve">Vertex Industries</t>
  </si>
  <si>
    <t xml:space="preserve">CLI-0041</t>
  </si>
  <si>
    <t xml:space="preserve">Sterling Energy</t>
  </si>
  <si>
    <t xml:space="preserve">CLI-0042</t>
  </si>
  <si>
    <t xml:space="preserve">Ironclad Motors</t>
  </si>
  <si>
    <t xml:space="preserve">CLI-0044</t>
  </si>
  <si>
    <t xml:space="preserve">Highland Dynamics</t>
  </si>
  <si>
    <t xml:space="preserve">CLI-0054</t>
  </si>
  <si>
    <t xml:space="preserve">Summit Partners</t>
  </si>
  <si>
    <t xml:space="preserve">CLI-0055</t>
  </si>
  <si>
    <t xml:space="preserve">Vertex Technologies</t>
  </si>
  <si>
    <t xml:space="preserve">CLI-0058</t>
  </si>
  <si>
    <t xml:space="preserve">Bridgeway Retail</t>
  </si>
  <si>
    <t xml:space="preserve">CLI-0064</t>
  </si>
  <si>
    <t xml:space="preserve">Pioneer Foods</t>
  </si>
  <si>
    <t xml:space="preserve">CLI-0067</t>
  </si>
  <si>
    <t xml:space="preserve">Pinnacle Health</t>
  </si>
  <si>
    <t xml:space="preserve">CLI-0073</t>
  </si>
  <si>
    <t xml:space="preserve">Lakeside Energy</t>
  </si>
  <si>
    <t xml:space="preserve">CLI-0074</t>
  </si>
  <si>
    <t xml:space="preserve">Apex Group</t>
  </si>
  <si>
    <t xml:space="preserve">CLI-0078</t>
  </si>
  <si>
    <t xml:space="preserve">Sterling Group</t>
  </si>
  <si>
    <t xml:space="preserve">CLI-0081</t>
  </si>
  <si>
    <t xml:space="preserve">Delta Telecom</t>
  </si>
  <si>
    <t xml:space="preserve">CLI-0085</t>
  </si>
  <si>
    <t xml:space="preserve">Atlas Group</t>
  </si>
  <si>
    <t xml:space="preserve">CLI-0088</t>
  </si>
  <si>
    <t xml:space="preserve">Beacon Industries</t>
  </si>
  <si>
    <t xml:space="preserve">CLI-0098</t>
  </si>
  <si>
    <t xml:space="preserve">Meridian Retail</t>
  </si>
  <si>
    <t xml:space="preserve">CLI-0110</t>
  </si>
  <si>
    <t xml:space="preserve">Pinnacle Networks</t>
  </si>
  <si>
    <t xml:space="preserve">CLI-0117</t>
  </si>
  <si>
    <t xml:space="preserve">Orion Materials</t>
  </si>
  <si>
    <t xml:space="preserve">CLI-0119</t>
  </si>
  <si>
    <t xml:space="preserve">Lakeside Capital</t>
  </si>
  <si>
    <t xml:space="preserve">CLI-0126</t>
  </si>
  <si>
    <t xml:space="preserve">Bridgeway Holdings</t>
  </si>
  <si>
    <t xml:space="preserve">CLI-0127</t>
  </si>
  <si>
    <t xml:space="preserve">Anchor Foods</t>
  </si>
  <si>
    <t xml:space="preserve">CLI-0134</t>
  </si>
  <si>
    <t xml:space="preserve">Harbor Group</t>
  </si>
  <si>
    <t xml:space="preserve">CLI-0140</t>
  </si>
  <si>
    <t xml:space="preserve">Horizon Foods</t>
  </si>
  <si>
    <t xml:space="preserve">CLI-0141</t>
  </si>
  <si>
    <t xml:space="preserve">Redwood Enterprises</t>
  </si>
  <si>
    <t xml:space="preserve">CLI-0142</t>
  </si>
  <si>
    <t xml:space="preserve">Lakeside Industries</t>
  </si>
  <si>
    <t xml:space="preserve">CLI-0144</t>
  </si>
  <si>
    <t xml:space="preserve">Lakeside Enterprises</t>
  </si>
  <si>
    <t xml:space="preserve">CLI-0145</t>
  </si>
  <si>
    <t xml:space="preserve">Highland Materials</t>
  </si>
  <si>
    <t xml:space="preserve">CLI-0146</t>
  </si>
  <si>
    <t xml:space="preserve">Union Enterprises</t>
  </si>
  <si>
    <t xml:space="preserve">CLI-0150</t>
  </si>
  <si>
    <t xml:space="preserve">Highland Logistics</t>
  </si>
  <si>
    <t xml:space="preserve">CLI-0153</t>
  </si>
  <si>
    <t xml:space="preserve">Granite Capital</t>
  </si>
  <si>
    <t xml:space="preserve">CLI-0154</t>
  </si>
  <si>
    <t xml:space="preserve">Apex Bank</t>
  </si>
  <si>
    <t xml:space="preserve">CLI-0161</t>
  </si>
  <si>
    <t xml:space="preserve">Beacon Logistics</t>
  </si>
  <si>
    <t xml:space="preserve">CLI-0163</t>
  </si>
  <si>
    <t xml:space="preserve">Anchor Technologies</t>
  </si>
  <si>
    <t xml:space="preserve">CLI-0170</t>
  </si>
  <si>
    <t xml:space="preserve">Delta Health</t>
  </si>
  <si>
    <t xml:space="preserve">CLI-0178</t>
  </si>
  <si>
    <t xml:space="preserve">Silver Dynamics</t>
  </si>
  <si>
    <t xml:space="preserve">CLI-0186</t>
  </si>
  <si>
    <t xml:space="preserve">Pinnacle Dynamics</t>
  </si>
  <si>
    <t xml:space="preserve">CLI-0188</t>
  </si>
  <si>
    <t xml:space="preserve">Horizon Enterprises</t>
  </si>
  <si>
    <t xml:space="preserve">CLI-0190</t>
  </si>
  <si>
    <t xml:space="preserve">Summit Solutions</t>
  </si>
  <si>
    <t xml:space="preserve">CLI-0192</t>
  </si>
  <si>
    <t xml:space="preserve">Granite Bank</t>
  </si>
  <si>
    <t xml:space="preserve">CLI-0193</t>
  </si>
  <si>
    <t xml:space="preserve">Atlas Foods</t>
  </si>
  <si>
    <t xml:space="preserve">CLI-0198</t>
  </si>
  <si>
    <t xml:space="preserve">Continental Partners</t>
  </si>
  <si>
    <t xml:space="preserve">CLI-0209</t>
  </si>
  <si>
    <t xml:space="preserve">Coastal Telecom</t>
  </si>
  <si>
    <t xml:space="preserve">CLI-0213</t>
  </si>
  <si>
    <t xml:space="preserve">Pioneer Holdings</t>
  </si>
  <si>
    <t xml:space="preserve">CLI-0214</t>
  </si>
  <si>
    <t xml:space="preserve">Union Holdings</t>
  </si>
  <si>
    <t xml:space="preserve">CLI-0215</t>
  </si>
  <si>
    <t xml:space="preserve">Horizon Logistics</t>
  </si>
  <si>
    <t xml:space="preserve">CLI-0216</t>
  </si>
  <si>
    <t xml:space="preserve">Continental Industries</t>
  </si>
  <si>
    <t xml:space="preserve">CLI-0217</t>
  </si>
  <si>
    <t xml:space="preserve">Apex Retail</t>
  </si>
  <si>
    <t xml:space="preserve">CLI-0218</t>
  </si>
  <si>
    <t xml:space="preserve">Orion Solutions</t>
  </si>
  <si>
    <t xml:space="preserve">CLI-0219</t>
  </si>
  <si>
    <t xml:space="preserve">Union Industries</t>
  </si>
  <si>
    <t xml:space="preserve">CLI-0226</t>
  </si>
  <si>
    <t xml:space="preserve">Blue Holdings</t>
  </si>
  <si>
    <t xml:space="preserve">CLI-0227</t>
  </si>
  <si>
    <t xml:space="preserve">Pioneer Industries</t>
  </si>
  <si>
    <t xml:space="preserve">CLI-0237</t>
  </si>
  <si>
    <t xml:space="preserve">Atlas Telecom</t>
  </si>
  <si>
    <t xml:space="preserve">CLI-0241</t>
  </si>
  <si>
    <t xml:space="preserve">Falcon Materials</t>
  </si>
  <si>
    <t xml:space="preserve">CLI-0243</t>
  </si>
  <si>
    <t xml:space="preserve">Pioneer Systems</t>
  </si>
  <si>
    <t xml:space="preserve">CLI-0246</t>
  </si>
  <si>
    <t xml:space="preserve">Highland Group</t>
  </si>
  <si>
    <t xml:space="preserve">CLI-0250</t>
  </si>
  <si>
    <t xml:space="preserve">Apex Energy</t>
  </si>
  <si>
    <t xml:space="preserve">CLI-0253</t>
  </si>
  <si>
    <t xml:space="preserve">North Systems</t>
  </si>
  <si>
    <t xml:space="preserve">Rep_ID</t>
  </si>
  <si>
    <t xml:space="preserve">Rep_Name</t>
  </si>
  <si>
    <t xml:space="preserve">Hire_Date</t>
  </si>
  <si>
    <t xml:space="preserve">Total_Deals_Closed</t>
  </si>
  <si>
    <t xml:space="preserve">Avg_Sales_Cycle_Days_Won</t>
  </si>
  <si>
    <t xml:space="preserve">Meridian Consulting Group — Sales &amp; Pipeline KPI Summary</t>
  </si>
  <si>
    <t xml:space="preserve">All figures below are formulas referencing Closed_Deals, Open_Pipeline, and Clients — recalculates automatically.</t>
  </si>
  <si>
    <t xml:space="preserve">Headline KPIs</t>
  </si>
  <si>
    <t xml:space="preserve">Total Historical Opportunities (3yr)</t>
  </si>
  <si>
    <t xml:space="preserve">Total Won</t>
  </si>
  <si>
    <t xml:space="preserve">Total Lost</t>
  </si>
  <si>
    <t xml:space="preserve">Overall Win %</t>
  </si>
  <si>
    <t xml:space="preserve">Total Revenue Won (3yr)</t>
  </si>
  <si>
    <t xml:space="preserve">Avg Deal Size — Won</t>
  </si>
  <si>
    <t xml:space="preserve">Avg Deal Size — Lost</t>
  </si>
  <si>
    <t xml:space="preserve">Avg Sales Cycle Days — Won</t>
  </si>
  <si>
    <t xml:space="preserve">Avg Sales Cycle Days — Lost</t>
  </si>
  <si>
    <t xml:space="preserve">Total Open Pipeline Opportunities</t>
  </si>
  <si>
    <t xml:space="preserve">Total Open Pipeline Value</t>
  </si>
  <si>
    <t xml:space="preserve">Weighted Open Pipeline Value</t>
  </si>
  <si>
    <t xml:space="preserve">Total Clients</t>
  </si>
  <si>
    <t xml:space="preserve">Clients With Won Business</t>
  </si>
  <si>
    <t xml:space="preserve">Repeat Clients (2+ Won Deals)</t>
  </si>
  <si>
    <t xml:space="preserve">Repeat Client Rate (of clients w/ won business)</t>
  </si>
  <si>
    <t xml:space="preserve">Active Clients</t>
  </si>
  <si>
    <t xml:space="preserve">At-Risk Clients</t>
  </si>
  <si>
    <t xml:space="preserve">Churned Clients</t>
  </si>
  <si>
    <t xml:space="preserve">Churn Rate (of clients w/ won business)</t>
  </si>
  <si>
    <t xml:space="preserve">Win % by Service Line</t>
  </si>
  <si>
    <t xml:space="preserve">Total</t>
  </si>
  <si>
    <t xml:space="preserve">Revenue_Won</t>
  </si>
  <si>
    <t xml:space="preserve">Win % by Region</t>
  </si>
  <si>
    <t xml:space="preserve">Win % by Lead Source</t>
  </si>
  <si>
    <t xml:space="preserve">Open Pipeline by Stage</t>
  </si>
  <si>
    <t xml:space="preserve">Count</t>
  </si>
  <si>
    <t xml:space="preserve">Total_Value</t>
  </si>
  <si>
    <t xml:space="preserve">Weighted_Value</t>
  </si>
  <si>
    <t xml:space="preserve">Avg_Probability</t>
  </si>
  <si>
    <t xml:space="preserve">Lost Deals by Loss Reason</t>
  </si>
  <si>
    <t xml:space="preserve">% of All Lost Deals</t>
  </si>
  <si>
    <t xml:space="preserve">Client Status Breakdown</t>
  </si>
  <si>
    <t xml:space="preserve">% of Total Clients</t>
  </si>
  <si>
    <t xml:space="preserve">No Won Business</t>
  </si>
  <si>
    <t xml:space="preserve">Active</t>
  </si>
  <si>
    <t xml:space="preserve">Active - In Pipeline</t>
  </si>
  <si>
    <t xml:space="preserve">At Risk</t>
  </si>
  <si>
    <t xml:space="preserve">Churned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</si>
</sst>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0"/>
    <numFmt numFmtId="167" formatCode="\$#,##0"/>
    <numFmt numFmtId="168" formatCode="0.0%"/>
    <numFmt numFmtId="169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lients" displayName="Clients" ref="A1:Q261" headerRowCount="1" totalsRowCount="0" totalsRowShown="0">
  <autoFilter ref="A1:Q261"/>
  <tableColumns count="17">
    <tableColumn id="1" name="Client_ID"/>
    <tableColumn id="2" name="Client_Name"/>
    <tableColumn id="3" name="Industry"/>
    <tableColumn id="4" name="Region"/>
    <tableColumn id="5" name="Total_Closed_Opportunities"/>
    <tableColumn id="6" name="Deals_Won"/>
    <tableColumn id="7" name="Deals_Lost"/>
    <tableColumn id="8" name="Win_Rate"/>
    <tableColumn id="9" name="Total_Revenue_Won"/>
    <tableColumn id="10" name="Avg_Deal_Size_Won"/>
    <tableColumn id="11" name="First_Project_End_Date"/>
    <tableColumn id="12" name="Last_Project_End_Date"/>
    <tableColumn id="13" name="Open_Pipeline_Count"/>
    <tableColumn id="14" name="Open_Pipeline_Value"/>
    <tableColumn id="15" name="Days_Since_Last_Project"/>
    <tableColumn id="16" name="Repeat_Client"/>
    <tableColumn id="17" name="Client_Status"/>
  </tableColumns>
</table>
</file>

<file path=xl/tables/table2.xml><?xml version="1.0" encoding="utf-8"?>
<table xmlns="http://schemas.openxmlformats.org/spreadsheetml/2006/main" id="2" name="ClosedDeals" displayName="ClosedDeals" ref="A1:R761" headerRowCount="1" totalsRowCount="0" totalsRowShown="0">
  <autoFilter ref="A1:R761"/>
  <tableColumns count="18">
    <tableColumn id="1" name="Deal_ID"/>
    <tableColumn id="2" name="Client_ID"/>
    <tableColumn id="3" name="Client_Name"/>
    <tableColumn id="4" name="Industry"/>
    <tableColumn id="5" name="Region"/>
    <tableColumn id="6" name="Service_Line"/>
    <tableColumn id="7" name="Lead_Source"/>
    <tableColumn id="8" name="Sales_Rep_ID"/>
    <tableColumn id="9" name="Sales_Rep_Name"/>
    <tableColumn id="10" name="Created_Date"/>
    <tableColumn id="11" name="Closed_Date"/>
    <tableColumn id="12" name="Sales_Cycle_Days"/>
    <tableColumn id="13" name="Deal_Value_USD"/>
    <tableColumn id="14" name="Outcome"/>
    <tableColumn id="15" name="Loss_Reason"/>
    <tableColumn id="16" name="Project_Start_Date"/>
    <tableColumn id="17" name="Project_Duration_Months"/>
    <tableColumn id="18" name="Project_End_Date"/>
  </tableColumns>
</table>
</file>

<file path=xl/tables/table3.xml><?xml version="1.0" encoding="utf-8"?>
<table xmlns="http://schemas.openxmlformats.org/spreadsheetml/2006/main" id="3" name="OpenPipeline" displayName="OpenPipeline" ref="A1:Q151" headerRowCount="1" totalsRowCount="0" totalsRowShown="0">
  <autoFilter ref="A1:Q151"/>
  <tableColumns count="17">
    <tableColumn id="1" name="Opportunity_ID"/>
    <tableColumn id="2" name="Client_ID"/>
    <tableColumn id="3" name="Client_Name"/>
    <tableColumn id="4" name="Industry"/>
    <tableColumn id="5" name="Region"/>
    <tableColumn id="6" name="Service_Line"/>
    <tableColumn id="7" name="Lead_Source"/>
    <tableColumn id="8" name="Sales_Rep_ID"/>
    <tableColumn id="9" name="Sales_Rep_Name"/>
    <tableColumn id="10" name="Created_Date"/>
    <tableColumn id="11" name="Stage"/>
    <tableColumn id="12" name="Stage_Probability"/>
    <tableColumn id="13" name="Deal_Value_USD"/>
    <tableColumn id="14" name="Weighted_Pipeline_Value"/>
    <tableColumn id="15" name="Expected_Close_Date"/>
    <tableColumn id="16" name="Age_In_Pipeline_Days"/>
    <tableColumn id="17" name="Days_To_Expected_Close"/>
  </tableColumns>
</table>
</file>

<file path=xl/tables/table4.xml><?xml version="1.0" encoding="utf-8"?>
<table xmlns="http://schemas.openxmlformats.org/spreadsheetml/2006/main" id="4" name="SalesReps" displayName="SalesReps" ref="A1:K25" headerRowCount="1" totalsRowCount="0" totalsRowShown="0">
  <autoFilter ref="A1:K25"/>
  <tableColumns count="11">
    <tableColumn id="1" name="Rep_ID"/>
    <tableColumn id="2" name="Rep_Name"/>
    <tableColumn id="3" name="Region"/>
    <tableColumn id="4" name="Hire_Date"/>
    <tableColumn id="5" name="Total_Deals_Closed"/>
    <tableColumn id="6" name="Deals_Won"/>
    <tableColumn id="7" name="Win_Rate"/>
    <tableColumn id="8" name="Total_Revenue_Won"/>
    <tableColumn id="9" name="Avg_Sales_Cycle_Days_Won"/>
    <tableColumn id="10" name="Open_Pipeline_Count"/>
    <tableColumn id="11" name="Open_Pipeline_Valu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00"/>
  </cols>
  <sheetData>
    <row r="2" customFormat="false" ht="19.7" hidden="false" customHeight="false" outlineLevel="0" collapsed="false">
      <c r="B2" s="1" t="s">
        <v>0</v>
      </c>
      <c r="C2" s="1"/>
    </row>
    <row r="3" customFormat="false" ht="15" hidden="false" customHeight="false" outlineLevel="0" collapsed="false">
      <c r="B3" s="2" t="s">
        <v>1</v>
      </c>
      <c r="C3" s="2"/>
    </row>
    <row r="5" customFormat="false" ht="15" hidden="false" customHeight="false" outlineLevel="0" collapsed="false">
      <c r="B5" s="3" t="s">
        <v>2</v>
      </c>
      <c r="C5" s="3"/>
    </row>
    <row r="6" customFormat="false" ht="30" hidden="false" customHeight="true" outlineLevel="0" collapsed="false">
      <c r="B6" s="4" t="s">
        <v>3</v>
      </c>
      <c r="C6" s="5" t="s">
        <v>4</v>
      </c>
    </row>
    <row r="7" customFormat="false" ht="45" hidden="false" customHeight="true" outlineLevel="0" collapsed="false">
      <c r="B7" s="4" t="s">
        <v>5</v>
      </c>
      <c r="C7" s="5" t="s">
        <v>6</v>
      </c>
    </row>
    <row r="8" customFormat="false" ht="30" hidden="false" customHeight="true" outlineLevel="0" collapsed="false">
      <c r="B8" s="4" t="s">
        <v>7</v>
      </c>
      <c r="C8" s="5" t="s">
        <v>8</v>
      </c>
    </row>
    <row r="10" customFormat="false" ht="15" hidden="false" customHeight="false" outlineLevel="0" collapsed="false">
      <c r="B10" s="3" t="s">
        <v>9</v>
      </c>
      <c r="C10" s="3"/>
    </row>
    <row r="11" customFormat="false" ht="30" hidden="false" customHeight="true" outlineLevel="0" collapsed="false">
      <c r="B11" s="4" t="s">
        <v>10</v>
      </c>
      <c r="C11" s="5" t="s">
        <v>11</v>
      </c>
    </row>
    <row r="12" customFormat="false" ht="30" hidden="false" customHeight="true" outlineLevel="0" collapsed="false">
      <c r="B12" s="4" t="s">
        <v>12</v>
      </c>
      <c r="C12" s="5" t="s">
        <v>13</v>
      </c>
    </row>
    <row r="13" customFormat="false" ht="30" hidden="false" customHeight="true" outlineLevel="0" collapsed="false">
      <c r="B13" s="4" t="s">
        <v>14</v>
      </c>
      <c r="C13" s="5" t="s">
        <v>15</v>
      </c>
    </row>
    <row r="14" customFormat="false" ht="30" hidden="false" customHeight="true" outlineLevel="0" collapsed="false">
      <c r="B14" s="4" t="s">
        <v>16</v>
      </c>
      <c r="C14" s="5" t="s">
        <v>17</v>
      </c>
    </row>
    <row r="16" customFormat="false" ht="15" hidden="false" customHeight="false" outlineLevel="0" collapsed="false">
      <c r="B16" s="3" t="s">
        <v>18</v>
      </c>
      <c r="C16" s="3"/>
    </row>
    <row r="17" customFormat="false" ht="60" hidden="false" customHeight="true" outlineLevel="0" collapsed="false">
      <c r="B17" s="4" t="s">
        <v>19</v>
      </c>
      <c r="C17" s="5" t="s">
        <v>20</v>
      </c>
    </row>
    <row r="18" customFormat="false" ht="75" hidden="false" customHeight="true" outlineLevel="0" collapsed="false">
      <c r="B18" s="4" t="s">
        <v>21</v>
      </c>
      <c r="C18" s="5" t="s">
        <v>22</v>
      </c>
    </row>
    <row r="20" customFormat="false" ht="15" hidden="false" customHeight="false" outlineLevel="0" collapsed="false">
      <c r="B20" s="3" t="s">
        <v>23</v>
      </c>
      <c r="C20" s="3"/>
    </row>
    <row r="21" customFormat="false" ht="15" hidden="false" customHeight="true" outlineLevel="0" collapsed="false">
      <c r="B21" s="4" t="s">
        <v>24</v>
      </c>
      <c r="C21" s="5" t="s">
        <v>25</v>
      </c>
    </row>
    <row r="22" customFormat="false" ht="30" hidden="false" customHeight="true" outlineLevel="0" collapsed="false">
      <c r="B22" s="4" t="s">
        <v>26</v>
      </c>
      <c r="C22" s="5" t="s">
        <v>27</v>
      </c>
    </row>
    <row r="23" customFormat="false" ht="30" hidden="false" customHeight="true" outlineLevel="0" collapsed="false">
      <c r="B23" s="4" t="s">
        <v>28</v>
      </c>
      <c r="C23" s="5" t="s">
        <v>29</v>
      </c>
    </row>
    <row r="24" customFormat="false" ht="45" hidden="false" customHeight="true" outlineLevel="0" collapsed="false">
      <c r="B24" s="4" t="s">
        <v>30</v>
      </c>
      <c r="C24" s="5" t="s">
        <v>31</v>
      </c>
    </row>
    <row r="25" customFormat="false" ht="30" hidden="false" customHeight="true" outlineLevel="0" collapsed="false">
      <c r="B25" s="4" t="s">
        <v>32</v>
      </c>
      <c r="C25" s="5" t="s">
        <v>33</v>
      </c>
    </row>
    <row r="26" customFormat="false" ht="45" hidden="false" customHeight="true" outlineLevel="0" collapsed="false">
      <c r="B26" s="4" t="s">
        <v>34</v>
      </c>
      <c r="C26" s="5" t="s">
        <v>35</v>
      </c>
    </row>
    <row r="28" customFormat="false" ht="15" hidden="false" customHeight="false" outlineLevel="0" collapsed="false">
      <c r="B28" s="3" t="s">
        <v>36</v>
      </c>
      <c r="C28" s="3"/>
    </row>
    <row r="29" customFormat="false" ht="15" hidden="false" customHeight="true" outlineLevel="0" collapsed="false">
      <c r="B29" s="4" t="s">
        <v>37</v>
      </c>
      <c r="C29" s="5" t="s">
        <v>38</v>
      </c>
    </row>
    <row r="30" customFormat="false" ht="15" hidden="false" customHeight="true" outlineLevel="0" collapsed="false">
      <c r="B30" s="4" t="s">
        <v>39</v>
      </c>
      <c r="C30" s="5" t="s">
        <v>40</v>
      </c>
    </row>
    <row r="31" customFormat="false" ht="15" hidden="false" customHeight="true" outlineLevel="0" collapsed="false">
      <c r="B31" s="4" t="s">
        <v>41</v>
      </c>
      <c r="C31" s="5" t="s">
        <v>42</v>
      </c>
    </row>
    <row r="32" customFormat="false" ht="15" hidden="false" customHeight="true" outlineLevel="0" collapsed="false">
      <c r="B32" s="4" t="s">
        <v>43</v>
      </c>
      <c r="C32" s="5" t="s">
        <v>44</v>
      </c>
    </row>
    <row r="33" customFormat="false" ht="15" hidden="false" customHeight="true" outlineLevel="0" collapsed="false">
      <c r="B33" s="4" t="s">
        <v>45</v>
      </c>
      <c r="C33" s="5" t="s">
        <v>46</v>
      </c>
    </row>
    <row r="34" customFormat="false" ht="15" hidden="false" customHeight="true" outlineLevel="0" collapsed="false">
      <c r="B34" s="4" t="s">
        <v>47</v>
      </c>
      <c r="C34" s="5" t="s">
        <v>48</v>
      </c>
    </row>
    <row r="35" customFormat="false" ht="15" hidden="false" customHeight="true" outlineLevel="0" collapsed="false">
      <c r="B35" s="4" t="s">
        <v>49</v>
      </c>
      <c r="C35" s="5" t="s">
        <v>50</v>
      </c>
    </row>
    <row r="36" customFormat="false" ht="15" hidden="false" customHeight="true" outlineLevel="0" collapsed="false">
      <c r="B36" s="4" t="s">
        <v>51</v>
      </c>
      <c r="C36" s="5" t="s">
        <v>52</v>
      </c>
    </row>
    <row r="37" customFormat="false" ht="15" hidden="false" customHeight="true" outlineLevel="0" collapsed="false">
      <c r="B37" s="4" t="s">
        <v>53</v>
      </c>
      <c r="C37" s="5" t="s">
        <v>54</v>
      </c>
    </row>
    <row r="38" customFormat="false" ht="15" hidden="false" customHeight="true" outlineLevel="0" collapsed="false">
      <c r="B38" s="4" t="s">
        <v>55</v>
      </c>
      <c r="C38" s="5" t="s">
        <v>56</v>
      </c>
    </row>
    <row r="39" customFormat="false" ht="15" hidden="false" customHeight="true" outlineLevel="0" collapsed="false">
      <c r="B39" s="4" t="s">
        <v>57</v>
      </c>
      <c r="C39" s="5" t="s">
        <v>58</v>
      </c>
    </row>
    <row r="40" customFormat="false" ht="30" hidden="false" customHeight="true" outlineLevel="0" collapsed="false">
      <c r="B40" s="4" t="s">
        <v>59</v>
      </c>
      <c r="C40" s="5" t="s">
        <v>60</v>
      </c>
    </row>
    <row r="42" customFormat="false" ht="15" hidden="false" customHeight="false" outlineLevel="0" collapsed="false">
      <c r="B42" s="3" t="s">
        <v>61</v>
      </c>
      <c r="C42" s="3"/>
    </row>
    <row r="43" customFormat="false" ht="15" hidden="false" customHeight="true" outlineLevel="0" collapsed="false">
      <c r="B43" s="4" t="s">
        <v>62</v>
      </c>
      <c r="C43" s="5" t="s">
        <v>63</v>
      </c>
    </row>
    <row r="44" customFormat="false" ht="15" hidden="false" customHeight="true" outlineLevel="0" collapsed="false">
      <c r="B44" s="4" t="s">
        <v>64</v>
      </c>
      <c r="C44" s="5" t="s">
        <v>65</v>
      </c>
    </row>
    <row r="45" customFormat="false" ht="15" hidden="false" customHeight="true" outlineLevel="0" collapsed="false">
      <c r="B45" s="4" t="s">
        <v>66</v>
      </c>
      <c r="C45" s="5" t="s">
        <v>67</v>
      </c>
    </row>
    <row r="46" customFormat="false" ht="15" hidden="false" customHeight="true" outlineLevel="0" collapsed="false">
      <c r="B46" s="4" t="s">
        <v>68</v>
      </c>
      <c r="C46" s="5" t="s">
        <v>69</v>
      </c>
    </row>
    <row r="47" customFormat="false" ht="15" hidden="false" customHeight="true" outlineLevel="0" collapsed="false">
      <c r="B47" s="4" t="s">
        <v>70</v>
      </c>
      <c r="C47" s="5" t="s">
        <v>71</v>
      </c>
    </row>
    <row r="48" customFormat="false" ht="15" hidden="false" customHeight="true" outlineLevel="0" collapsed="false">
      <c r="B48" s="4" t="s">
        <v>51</v>
      </c>
      <c r="C48" s="5" t="s">
        <v>72</v>
      </c>
    </row>
    <row r="49" customFormat="false" ht="15" hidden="false" customHeight="true" outlineLevel="0" collapsed="false">
      <c r="B49" s="4" t="s">
        <v>73</v>
      </c>
      <c r="C49" s="5" t="s">
        <v>74</v>
      </c>
    </row>
    <row r="50" customFormat="false" ht="15" hidden="false" customHeight="true" outlineLevel="0" collapsed="false">
      <c r="B50" s="4" t="s">
        <v>75</v>
      </c>
      <c r="C50" s="5" t="s">
        <v>76</v>
      </c>
    </row>
    <row r="51" customFormat="false" ht="15" hidden="false" customHeight="true" outlineLevel="0" collapsed="false">
      <c r="B51" s="4" t="s">
        <v>77</v>
      </c>
      <c r="C51" s="5" t="s">
        <v>78</v>
      </c>
    </row>
    <row r="52" customFormat="false" ht="15" hidden="false" customHeight="true" outlineLevel="0" collapsed="false">
      <c r="B52" s="4" t="s">
        <v>79</v>
      </c>
      <c r="C52" s="5" t="s">
        <v>80</v>
      </c>
    </row>
  </sheetData>
  <mergeCells count="8">
    <mergeCell ref="B2:C2"/>
    <mergeCell ref="B3:C3"/>
    <mergeCell ref="B5:C5"/>
    <mergeCell ref="B10:C10"/>
    <mergeCell ref="B16:C16"/>
    <mergeCell ref="B20:C20"/>
    <mergeCell ref="B28:C28"/>
    <mergeCell ref="B42:C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7" min="6" style="0" width="20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1" min="10" style="0" width="12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8"/>
    <col collapsed="false" customWidth="true" hidden="false" outlineLevel="0" max="15" min="15" style="0" width="20"/>
    <col collapsed="false" customWidth="true" hidden="false" outlineLevel="0" max="16" min="16" style="0" width="16"/>
    <col collapsed="false" customWidth="true" hidden="false" outlineLevel="0" max="17" min="17" style="0" width="20"/>
    <col collapsed="false" customWidth="true" hidden="false" outlineLevel="0" max="18" min="18" style="0" width="16"/>
  </cols>
  <sheetData>
    <row r="1" customFormat="false" ht="23.85" hidden="false" customHeight="false" outlineLevel="0" collapsed="false">
      <c r="A1" s="6" t="s">
        <v>37</v>
      </c>
      <c r="B1" s="6" t="s">
        <v>81</v>
      </c>
      <c r="C1" s="6" t="s">
        <v>82</v>
      </c>
      <c r="D1" s="6" t="s">
        <v>83</v>
      </c>
      <c r="E1" s="6" t="s">
        <v>84</v>
      </c>
      <c r="F1" s="6" t="s">
        <v>41</v>
      </c>
      <c r="G1" s="6" t="s">
        <v>43</v>
      </c>
      <c r="H1" s="6" t="s">
        <v>85</v>
      </c>
      <c r="I1" s="6" t="s">
        <v>86</v>
      </c>
      <c r="J1" s="6" t="s">
        <v>66</v>
      </c>
      <c r="K1" s="6" t="s">
        <v>87</v>
      </c>
      <c r="L1" s="6" t="s">
        <v>49</v>
      </c>
      <c r="M1" s="6" t="s">
        <v>51</v>
      </c>
      <c r="N1" s="6" t="s">
        <v>53</v>
      </c>
      <c r="O1" s="6" t="s">
        <v>55</v>
      </c>
      <c r="P1" s="6" t="s">
        <v>88</v>
      </c>
      <c r="Q1" s="6" t="s">
        <v>89</v>
      </c>
      <c r="R1" s="6" t="s">
        <v>59</v>
      </c>
    </row>
    <row r="2" customFormat="false" ht="15" hidden="false" customHeight="false" outlineLevel="0" collapsed="false">
      <c r="A2" s="7" t="s">
        <v>90</v>
      </c>
      <c r="B2" s="7" t="s">
        <v>91</v>
      </c>
      <c r="C2" s="7" t="s">
        <v>92</v>
      </c>
      <c r="D2" s="7" t="s">
        <v>93</v>
      </c>
      <c r="E2" s="7" t="s">
        <v>94</v>
      </c>
      <c r="F2" s="7" t="s">
        <v>95</v>
      </c>
      <c r="G2" s="7" t="s">
        <v>96</v>
      </c>
      <c r="H2" s="7" t="s">
        <v>97</v>
      </c>
      <c r="I2" s="7" t="s">
        <v>98</v>
      </c>
      <c r="J2" s="8" t="n">
        <v>45124</v>
      </c>
      <c r="K2" s="8" t="n">
        <v>45186</v>
      </c>
      <c r="L2" s="9" t="n">
        <f aca="false">K2-J2</f>
        <v>62</v>
      </c>
      <c r="M2" s="10" t="n">
        <v>48260.82</v>
      </c>
      <c r="N2" s="7" t="s">
        <v>99</v>
      </c>
      <c r="O2" s="7" t="s">
        <v>100</v>
      </c>
      <c r="P2" s="7"/>
      <c r="Q2" s="7"/>
      <c r="R2" s="7"/>
    </row>
    <row r="3" customFormat="false" ht="15" hidden="false" customHeight="false" outlineLevel="0" collapsed="false">
      <c r="A3" s="7" t="s">
        <v>101</v>
      </c>
      <c r="B3" s="7" t="s">
        <v>102</v>
      </c>
      <c r="C3" s="7" t="s">
        <v>103</v>
      </c>
      <c r="D3" s="7" t="s">
        <v>104</v>
      </c>
      <c r="E3" s="7" t="s">
        <v>105</v>
      </c>
      <c r="F3" s="7" t="s">
        <v>106</v>
      </c>
      <c r="G3" s="7" t="s">
        <v>107</v>
      </c>
      <c r="H3" s="7" t="s">
        <v>108</v>
      </c>
      <c r="I3" s="7" t="s">
        <v>109</v>
      </c>
      <c r="J3" s="8" t="n">
        <v>45121</v>
      </c>
      <c r="K3" s="8" t="n">
        <v>45192</v>
      </c>
      <c r="L3" s="9" t="n">
        <f aca="false">K3-J3</f>
        <v>71</v>
      </c>
      <c r="M3" s="10" t="n">
        <v>103481.4</v>
      </c>
      <c r="N3" s="7" t="s">
        <v>99</v>
      </c>
      <c r="O3" s="7" t="s">
        <v>110</v>
      </c>
      <c r="P3" s="7"/>
      <c r="Q3" s="7"/>
      <c r="R3" s="7"/>
    </row>
    <row r="4" customFormat="false" ht="15" hidden="false" customHeight="false" outlineLevel="0" collapsed="false">
      <c r="A4" s="7" t="s">
        <v>111</v>
      </c>
      <c r="B4" s="7" t="s">
        <v>112</v>
      </c>
      <c r="C4" s="7" t="s">
        <v>113</v>
      </c>
      <c r="D4" s="7" t="s">
        <v>114</v>
      </c>
      <c r="E4" s="7" t="s">
        <v>115</v>
      </c>
      <c r="F4" s="7" t="s">
        <v>116</v>
      </c>
      <c r="G4" s="7" t="s">
        <v>117</v>
      </c>
      <c r="H4" s="7" t="s">
        <v>108</v>
      </c>
      <c r="I4" s="7" t="s">
        <v>109</v>
      </c>
      <c r="J4" s="8" t="n">
        <v>45101</v>
      </c>
      <c r="K4" s="8" t="n">
        <v>45200</v>
      </c>
      <c r="L4" s="9" t="n">
        <f aca="false">K4-J4</f>
        <v>99</v>
      </c>
      <c r="M4" s="10" t="n">
        <v>178890.57</v>
      </c>
      <c r="N4" s="7" t="s">
        <v>99</v>
      </c>
      <c r="O4" s="7" t="s">
        <v>118</v>
      </c>
      <c r="P4" s="7"/>
      <c r="Q4" s="7"/>
      <c r="R4" s="7"/>
    </row>
    <row r="5" customFormat="false" ht="15" hidden="false" customHeight="false" outlineLevel="0" collapsed="false">
      <c r="A5" s="7" t="s">
        <v>119</v>
      </c>
      <c r="B5" s="7" t="s">
        <v>120</v>
      </c>
      <c r="C5" s="7" t="s">
        <v>121</v>
      </c>
      <c r="D5" s="7" t="s">
        <v>104</v>
      </c>
      <c r="E5" s="7" t="s">
        <v>105</v>
      </c>
      <c r="F5" s="7" t="s">
        <v>106</v>
      </c>
      <c r="G5" s="7" t="s">
        <v>117</v>
      </c>
      <c r="H5" s="7" t="s">
        <v>122</v>
      </c>
      <c r="I5" s="7" t="s">
        <v>123</v>
      </c>
      <c r="J5" s="8" t="n">
        <v>45126</v>
      </c>
      <c r="K5" s="8" t="n">
        <v>45207</v>
      </c>
      <c r="L5" s="9" t="n">
        <f aca="false">K5-J5</f>
        <v>81</v>
      </c>
      <c r="M5" s="10" t="n">
        <v>139590.37</v>
      </c>
      <c r="N5" s="7" t="s">
        <v>99</v>
      </c>
      <c r="O5" s="7" t="s">
        <v>124</v>
      </c>
      <c r="P5" s="7"/>
      <c r="Q5" s="7"/>
      <c r="R5" s="7"/>
    </row>
    <row r="6" customFormat="false" ht="15" hidden="false" customHeight="false" outlineLevel="0" collapsed="false">
      <c r="A6" s="7" t="s">
        <v>125</v>
      </c>
      <c r="B6" s="7" t="s">
        <v>126</v>
      </c>
      <c r="C6" s="7" t="s">
        <v>127</v>
      </c>
      <c r="D6" s="7" t="s">
        <v>104</v>
      </c>
      <c r="E6" s="7" t="s">
        <v>105</v>
      </c>
      <c r="F6" s="7" t="s">
        <v>128</v>
      </c>
      <c r="G6" s="7" t="s">
        <v>117</v>
      </c>
      <c r="H6" s="7" t="s">
        <v>129</v>
      </c>
      <c r="I6" s="7" t="s">
        <v>130</v>
      </c>
      <c r="J6" s="8" t="n">
        <v>45177</v>
      </c>
      <c r="K6" s="8" t="n">
        <v>45212</v>
      </c>
      <c r="L6" s="9" t="n">
        <f aca="false">K6-J6</f>
        <v>35</v>
      </c>
      <c r="M6" s="10" t="n">
        <v>36018.82</v>
      </c>
      <c r="N6" s="7" t="s">
        <v>131</v>
      </c>
      <c r="O6" s="7"/>
      <c r="P6" s="8" t="n">
        <v>45220</v>
      </c>
      <c r="Q6" s="7" t="n">
        <v>1</v>
      </c>
      <c r="R6" s="8" t="n">
        <f aca="false">EDATE(P6,Q6)</f>
        <v>45251</v>
      </c>
    </row>
    <row r="7" customFormat="false" ht="15" hidden="false" customHeight="false" outlineLevel="0" collapsed="false">
      <c r="A7" s="7" t="s">
        <v>132</v>
      </c>
      <c r="B7" s="7" t="s">
        <v>133</v>
      </c>
      <c r="C7" s="7" t="s">
        <v>134</v>
      </c>
      <c r="D7" s="7" t="s">
        <v>135</v>
      </c>
      <c r="E7" s="7" t="s">
        <v>94</v>
      </c>
      <c r="F7" s="7" t="s">
        <v>136</v>
      </c>
      <c r="G7" s="7" t="s">
        <v>137</v>
      </c>
      <c r="H7" s="7" t="s">
        <v>138</v>
      </c>
      <c r="I7" s="7" t="s">
        <v>139</v>
      </c>
      <c r="J7" s="8" t="n">
        <v>45112</v>
      </c>
      <c r="K7" s="8" t="n">
        <v>45222</v>
      </c>
      <c r="L7" s="9" t="n">
        <f aca="false">K7-J7</f>
        <v>110</v>
      </c>
      <c r="M7" s="10" t="n">
        <v>63541.54</v>
      </c>
      <c r="N7" s="7" t="s">
        <v>131</v>
      </c>
      <c r="O7" s="7"/>
      <c r="P7" s="8" t="n">
        <v>45235</v>
      </c>
      <c r="Q7" s="7" t="n">
        <v>2</v>
      </c>
      <c r="R7" s="8" t="n">
        <f aca="false">EDATE(P7,Q7)</f>
        <v>45296</v>
      </c>
    </row>
    <row r="8" customFormat="false" ht="15" hidden="false" customHeight="false" outlineLevel="0" collapsed="false">
      <c r="A8" s="7" t="s">
        <v>140</v>
      </c>
      <c r="B8" s="7" t="s">
        <v>141</v>
      </c>
      <c r="C8" s="7" t="s">
        <v>142</v>
      </c>
      <c r="D8" s="7" t="s">
        <v>104</v>
      </c>
      <c r="E8" s="7" t="s">
        <v>105</v>
      </c>
      <c r="F8" s="7" t="s">
        <v>143</v>
      </c>
      <c r="G8" s="7" t="s">
        <v>144</v>
      </c>
      <c r="H8" s="7" t="s">
        <v>145</v>
      </c>
      <c r="I8" s="7" t="s">
        <v>146</v>
      </c>
      <c r="J8" s="8" t="n">
        <v>45142</v>
      </c>
      <c r="K8" s="8" t="n">
        <v>45222</v>
      </c>
      <c r="L8" s="9" t="n">
        <f aca="false">K8-J8</f>
        <v>80</v>
      </c>
      <c r="M8" s="10" t="n">
        <v>82458.1</v>
      </c>
      <c r="N8" s="7" t="s">
        <v>99</v>
      </c>
      <c r="O8" s="7" t="s">
        <v>147</v>
      </c>
      <c r="P8" s="7"/>
      <c r="Q8" s="7"/>
      <c r="R8" s="7"/>
    </row>
    <row r="9" customFormat="false" ht="15" hidden="false" customHeight="false" outlineLevel="0" collapsed="false">
      <c r="A9" s="7" t="s">
        <v>148</v>
      </c>
      <c r="B9" s="7" t="s">
        <v>149</v>
      </c>
      <c r="C9" s="7" t="s">
        <v>150</v>
      </c>
      <c r="D9" s="7" t="s">
        <v>151</v>
      </c>
      <c r="E9" s="7" t="s">
        <v>94</v>
      </c>
      <c r="F9" s="7" t="s">
        <v>136</v>
      </c>
      <c r="G9" s="7" t="s">
        <v>117</v>
      </c>
      <c r="H9" s="7" t="s">
        <v>152</v>
      </c>
      <c r="I9" s="7" t="s">
        <v>153</v>
      </c>
      <c r="J9" s="8" t="n">
        <v>45151</v>
      </c>
      <c r="K9" s="8" t="n">
        <v>45234</v>
      </c>
      <c r="L9" s="9" t="n">
        <f aca="false">K9-J9</f>
        <v>83</v>
      </c>
      <c r="M9" s="10" t="n">
        <v>125009.81</v>
      </c>
      <c r="N9" s="7" t="s">
        <v>99</v>
      </c>
      <c r="O9" s="7" t="s">
        <v>100</v>
      </c>
      <c r="P9" s="7"/>
      <c r="Q9" s="7"/>
      <c r="R9" s="7"/>
    </row>
    <row r="10" customFormat="false" ht="15" hidden="false" customHeight="false" outlineLevel="0" collapsed="false">
      <c r="A10" s="7" t="s">
        <v>154</v>
      </c>
      <c r="B10" s="7" t="s">
        <v>155</v>
      </c>
      <c r="C10" s="7" t="s">
        <v>156</v>
      </c>
      <c r="D10" s="7" t="s">
        <v>104</v>
      </c>
      <c r="E10" s="7" t="s">
        <v>105</v>
      </c>
      <c r="F10" s="7" t="s">
        <v>157</v>
      </c>
      <c r="G10" s="7" t="s">
        <v>117</v>
      </c>
      <c r="H10" s="7" t="s">
        <v>97</v>
      </c>
      <c r="I10" s="7" t="s">
        <v>98</v>
      </c>
      <c r="J10" s="8" t="n">
        <v>45128</v>
      </c>
      <c r="K10" s="8" t="n">
        <v>45237</v>
      </c>
      <c r="L10" s="9" t="n">
        <f aca="false">K10-J10</f>
        <v>109</v>
      </c>
      <c r="M10" s="10" t="n">
        <v>185405.11</v>
      </c>
      <c r="N10" s="7" t="s">
        <v>99</v>
      </c>
      <c r="O10" s="7" t="s">
        <v>124</v>
      </c>
      <c r="P10" s="7"/>
      <c r="Q10" s="7"/>
      <c r="R10" s="7"/>
    </row>
    <row r="11" customFormat="false" ht="15" hidden="false" customHeight="false" outlineLevel="0" collapsed="false">
      <c r="A11" s="7" t="s">
        <v>158</v>
      </c>
      <c r="B11" s="7" t="s">
        <v>120</v>
      </c>
      <c r="C11" s="7" t="s">
        <v>121</v>
      </c>
      <c r="D11" s="7" t="s">
        <v>104</v>
      </c>
      <c r="E11" s="7" t="s">
        <v>105</v>
      </c>
      <c r="F11" s="7" t="s">
        <v>157</v>
      </c>
      <c r="G11" s="7" t="s">
        <v>137</v>
      </c>
      <c r="H11" s="7" t="s">
        <v>152</v>
      </c>
      <c r="I11" s="7" t="s">
        <v>153</v>
      </c>
      <c r="J11" s="8" t="n">
        <v>45193</v>
      </c>
      <c r="K11" s="8" t="n">
        <v>45241</v>
      </c>
      <c r="L11" s="9" t="n">
        <f aca="false">K11-J11</f>
        <v>48</v>
      </c>
      <c r="M11" s="10" t="n">
        <v>145078.8</v>
      </c>
      <c r="N11" s="7" t="s">
        <v>99</v>
      </c>
      <c r="O11" s="7" t="s">
        <v>124</v>
      </c>
      <c r="P11" s="7"/>
      <c r="Q11" s="7"/>
      <c r="R11" s="7"/>
    </row>
    <row r="12" customFormat="false" ht="15" hidden="false" customHeight="false" outlineLevel="0" collapsed="false">
      <c r="A12" s="7" t="s">
        <v>159</v>
      </c>
      <c r="B12" s="7" t="s">
        <v>160</v>
      </c>
      <c r="C12" s="7" t="s">
        <v>161</v>
      </c>
      <c r="D12" s="7" t="s">
        <v>151</v>
      </c>
      <c r="E12" s="7" t="s">
        <v>162</v>
      </c>
      <c r="F12" s="7" t="s">
        <v>136</v>
      </c>
      <c r="G12" s="7" t="s">
        <v>96</v>
      </c>
      <c r="H12" s="7" t="s">
        <v>138</v>
      </c>
      <c r="I12" s="7" t="s">
        <v>139</v>
      </c>
      <c r="J12" s="8" t="n">
        <v>45156</v>
      </c>
      <c r="K12" s="8" t="n">
        <v>45244</v>
      </c>
      <c r="L12" s="9" t="n">
        <f aca="false">K12-J12</f>
        <v>88</v>
      </c>
      <c r="M12" s="10" t="n">
        <v>128428.3</v>
      </c>
      <c r="N12" s="7" t="s">
        <v>99</v>
      </c>
      <c r="O12" s="7" t="s">
        <v>118</v>
      </c>
      <c r="P12" s="7"/>
      <c r="Q12" s="7"/>
      <c r="R12" s="7"/>
    </row>
    <row r="13" customFormat="false" ht="15" hidden="false" customHeight="false" outlineLevel="0" collapsed="false">
      <c r="A13" s="7" t="s">
        <v>163</v>
      </c>
      <c r="B13" s="7" t="s">
        <v>164</v>
      </c>
      <c r="C13" s="7" t="s">
        <v>165</v>
      </c>
      <c r="D13" s="7" t="s">
        <v>151</v>
      </c>
      <c r="E13" s="7" t="s">
        <v>94</v>
      </c>
      <c r="F13" s="7" t="s">
        <v>143</v>
      </c>
      <c r="G13" s="7" t="s">
        <v>117</v>
      </c>
      <c r="H13" s="7" t="s">
        <v>166</v>
      </c>
      <c r="I13" s="7" t="s">
        <v>167</v>
      </c>
      <c r="J13" s="8" t="n">
        <v>45168</v>
      </c>
      <c r="K13" s="8" t="n">
        <v>45246</v>
      </c>
      <c r="L13" s="9" t="n">
        <f aca="false">K13-J13</f>
        <v>78</v>
      </c>
      <c r="M13" s="10" t="n">
        <v>24214.25</v>
      </c>
      <c r="N13" s="7" t="s">
        <v>99</v>
      </c>
      <c r="O13" s="7" t="s">
        <v>124</v>
      </c>
      <c r="P13" s="7"/>
      <c r="Q13" s="7"/>
      <c r="R13" s="7"/>
    </row>
    <row r="14" customFormat="false" ht="15" hidden="false" customHeight="false" outlineLevel="0" collapsed="false">
      <c r="A14" s="7" t="s">
        <v>168</v>
      </c>
      <c r="B14" s="7" t="s">
        <v>169</v>
      </c>
      <c r="C14" s="7" t="s">
        <v>170</v>
      </c>
      <c r="D14" s="7" t="s">
        <v>104</v>
      </c>
      <c r="E14" s="7" t="s">
        <v>94</v>
      </c>
      <c r="F14" s="7" t="s">
        <v>128</v>
      </c>
      <c r="G14" s="7" t="s">
        <v>96</v>
      </c>
      <c r="H14" s="7" t="s">
        <v>171</v>
      </c>
      <c r="I14" s="7" t="s">
        <v>172</v>
      </c>
      <c r="J14" s="8" t="n">
        <v>45187</v>
      </c>
      <c r="K14" s="8" t="n">
        <v>45251</v>
      </c>
      <c r="L14" s="9" t="n">
        <f aca="false">K14-J14</f>
        <v>64</v>
      </c>
      <c r="M14" s="10" t="n">
        <v>26961.43</v>
      </c>
      <c r="N14" s="7" t="s">
        <v>131</v>
      </c>
      <c r="O14" s="7"/>
      <c r="P14" s="8" t="n">
        <v>45269</v>
      </c>
      <c r="Q14" s="7" t="n">
        <v>3</v>
      </c>
      <c r="R14" s="8" t="n">
        <f aca="false">EDATE(P14,Q14)</f>
        <v>45360</v>
      </c>
    </row>
    <row r="15" customFormat="false" ht="15" hidden="false" customHeight="false" outlineLevel="0" collapsed="false">
      <c r="A15" s="7" t="s">
        <v>173</v>
      </c>
      <c r="B15" s="7" t="s">
        <v>174</v>
      </c>
      <c r="C15" s="7" t="s">
        <v>175</v>
      </c>
      <c r="D15" s="7" t="s">
        <v>104</v>
      </c>
      <c r="E15" s="7" t="s">
        <v>94</v>
      </c>
      <c r="F15" s="7" t="s">
        <v>136</v>
      </c>
      <c r="G15" s="7" t="s">
        <v>176</v>
      </c>
      <c r="H15" s="7" t="s">
        <v>177</v>
      </c>
      <c r="I15" s="7" t="s">
        <v>178</v>
      </c>
      <c r="J15" s="8" t="n">
        <v>45167</v>
      </c>
      <c r="K15" s="8" t="n">
        <v>45253</v>
      </c>
      <c r="L15" s="9" t="n">
        <f aca="false">K15-J15</f>
        <v>86</v>
      </c>
      <c r="M15" s="10" t="n">
        <v>92364.93</v>
      </c>
      <c r="N15" s="7" t="s">
        <v>99</v>
      </c>
      <c r="O15" s="7" t="s">
        <v>147</v>
      </c>
      <c r="P15" s="7"/>
      <c r="Q15" s="7"/>
      <c r="R15" s="7"/>
    </row>
    <row r="16" customFormat="false" ht="15" hidden="false" customHeight="false" outlineLevel="0" collapsed="false">
      <c r="A16" s="7" t="s">
        <v>179</v>
      </c>
      <c r="B16" s="7" t="s">
        <v>169</v>
      </c>
      <c r="C16" s="7" t="s">
        <v>170</v>
      </c>
      <c r="D16" s="7" t="s">
        <v>104</v>
      </c>
      <c r="E16" s="7" t="s">
        <v>94</v>
      </c>
      <c r="F16" s="7" t="s">
        <v>106</v>
      </c>
      <c r="G16" s="7" t="s">
        <v>117</v>
      </c>
      <c r="H16" s="7" t="s">
        <v>180</v>
      </c>
      <c r="I16" s="7" t="s">
        <v>181</v>
      </c>
      <c r="J16" s="8" t="n">
        <v>45165</v>
      </c>
      <c r="K16" s="8" t="n">
        <v>45253</v>
      </c>
      <c r="L16" s="9" t="n">
        <f aca="false">K16-J16</f>
        <v>88</v>
      </c>
      <c r="M16" s="10" t="n">
        <v>76838.63</v>
      </c>
      <c r="N16" s="7" t="s">
        <v>99</v>
      </c>
      <c r="O16" s="7" t="s">
        <v>100</v>
      </c>
      <c r="P16" s="7"/>
      <c r="Q16" s="7"/>
      <c r="R16" s="7"/>
    </row>
    <row r="17" customFormat="false" ht="15" hidden="false" customHeight="false" outlineLevel="0" collapsed="false">
      <c r="A17" s="7" t="s">
        <v>182</v>
      </c>
      <c r="B17" s="7" t="s">
        <v>164</v>
      </c>
      <c r="C17" s="7" t="s">
        <v>165</v>
      </c>
      <c r="D17" s="7" t="s">
        <v>151</v>
      </c>
      <c r="E17" s="7" t="s">
        <v>94</v>
      </c>
      <c r="F17" s="7" t="s">
        <v>183</v>
      </c>
      <c r="G17" s="7" t="s">
        <v>184</v>
      </c>
      <c r="H17" s="7" t="s">
        <v>185</v>
      </c>
      <c r="I17" s="7" t="s">
        <v>186</v>
      </c>
      <c r="J17" s="8" t="n">
        <v>45144</v>
      </c>
      <c r="K17" s="8" t="n">
        <v>45258</v>
      </c>
      <c r="L17" s="9" t="n">
        <f aca="false">K17-J17</f>
        <v>114</v>
      </c>
      <c r="M17" s="10" t="n">
        <v>374906.37</v>
      </c>
      <c r="N17" s="7" t="s">
        <v>131</v>
      </c>
      <c r="O17" s="7"/>
      <c r="P17" s="8" t="n">
        <v>45267</v>
      </c>
      <c r="Q17" s="7" t="n">
        <v>3</v>
      </c>
      <c r="R17" s="8" t="n">
        <f aca="false">EDATE(P17,Q17)</f>
        <v>45358</v>
      </c>
    </row>
    <row r="18" customFormat="false" ht="15" hidden="false" customHeight="false" outlineLevel="0" collapsed="false">
      <c r="A18" s="7" t="s">
        <v>187</v>
      </c>
      <c r="B18" s="7" t="s">
        <v>188</v>
      </c>
      <c r="C18" s="7" t="s">
        <v>189</v>
      </c>
      <c r="D18" s="7" t="s">
        <v>151</v>
      </c>
      <c r="E18" s="7" t="s">
        <v>105</v>
      </c>
      <c r="F18" s="7" t="s">
        <v>106</v>
      </c>
      <c r="G18" s="7" t="s">
        <v>176</v>
      </c>
      <c r="H18" s="7" t="s">
        <v>190</v>
      </c>
      <c r="I18" s="7" t="s">
        <v>191</v>
      </c>
      <c r="J18" s="8" t="n">
        <v>45206</v>
      </c>
      <c r="K18" s="8" t="n">
        <v>45260</v>
      </c>
      <c r="L18" s="9" t="n">
        <f aca="false">K18-J18</f>
        <v>54</v>
      </c>
      <c r="M18" s="10" t="n">
        <v>68804.87</v>
      </c>
      <c r="N18" s="7" t="s">
        <v>131</v>
      </c>
      <c r="O18" s="7"/>
      <c r="P18" s="8" t="n">
        <v>45273</v>
      </c>
      <c r="Q18" s="7" t="n">
        <v>4</v>
      </c>
      <c r="R18" s="8" t="n">
        <f aca="false">EDATE(P18,Q18)</f>
        <v>45395</v>
      </c>
    </row>
    <row r="19" customFormat="false" ht="15" hidden="false" customHeight="false" outlineLevel="0" collapsed="false">
      <c r="A19" s="7" t="s">
        <v>192</v>
      </c>
      <c r="B19" s="7" t="s">
        <v>193</v>
      </c>
      <c r="C19" s="7" t="s">
        <v>194</v>
      </c>
      <c r="D19" s="7" t="s">
        <v>195</v>
      </c>
      <c r="E19" s="7" t="s">
        <v>115</v>
      </c>
      <c r="F19" s="7" t="s">
        <v>143</v>
      </c>
      <c r="G19" s="7" t="s">
        <v>176</v>
      </c>
      <c r="H19" s="7" t="s">
        <v>196</v>
      </c>
      <c r="I19" s="7" t="s">
        <v>197</v>
      </c>
      <c r="J19" s="8" t="n">
        <v>45183</v>
      </c>
      <c r="K19" s="8" t="n">
        <v>45264</v>
      </c>
      <c r="L19" s="9" t="n">
        <f aca="false">K19-J19</f>
        <v>81</v>
      </c>
      <c r="M19" s="10" t="n">
        <v>173800.45</v>
      </c>
      <c r="N19" s="7" t="s">
        <v>131</v>
      </c>
      <c r="O19" s="7"/>
      <c r="P19" s="8" t="n">
        <v>45266</v>
      </c>
      <c r="Q19" s="7" t="n">
        <v>4</v>
      </c>
      <c r="R19" s="8" t="n">
        <f aca="false">EDATE(P19,Q19)</f>
        <v>45388</v>
      </c>
    </row>
    <row r="20" customFormat="false" ht="15" hidden="false" customHeight="false" outlineLevel="0" collapsed="false">
      <c r="A20" s="7" t="s">
        <v>198</v>
      </c>
      <c r="B20" s="7" t="s">
        <v>199</v>
      </c>
      <c r="C20" s="7" t="s">
        <v>200</v>
      </c>
      <c r="D20" s="7" t="s">
        <v>201</v>
      </c>
      <c r="E20" s="7" t="s">
        <v>94</v>
      </c>
      <c r="F20" s="7" t="s">
        <v>95</v>
      </c>
      <c r="G20" s="7" t="s">
        <v>176</v>
      </c>
      <c r="H20" s="7" t="s">
        <v>196</v>
      </c>
      <c r="I20" s="7" t="s">
        <v>197</v>
      </c>
      <c r="J20" s="8" t="n">
        <v>45158</v>
      </c>
      <c r="K20" s="8" t="n">
        <v>45270</v>
      </c>
      <c r="L20" s="9" t="n">
        <f aca="false">K20-J20</f>
        <v>112</v>
      </c>
      <c r="M20" s="10" t="n">
        <v>102757.36</v>
      </c>
      <c r="N20" s="7" t="s">
        <v>99</v>
      </c>
      <c r="O20" s="7" t="s">
        <v>100</v>
      </c>
      <c r="P20" s="7"/>
      <c r="Q20" s="7"/>
      <c r="R20" s="7"/>
    </row>
    <row r="21" customFormat="false" ht="15" hidden="false" customHeight="false" outlineLevel="0" collapsed="false">
      <c r="A21" s="7" t="s">
        <v>202</v>
      </c>
      <c r="B21" s="7" t="s">
        <v>203</v>
      </c>
      <c r="C21" s="7" t="s">
        <v>204</v>
      </c>
      <c r="D21" s="7" t="s">
        <v>195</v>
      </c>
      <c r="E21" s="7" t="s">
        <v>94</v>
      </c>
      <c r="F21" s="7" t="s">
        <v>116</v>
      </c>
      <c r="G21" s="7" t="s">
        <v>107</v>
      </c>
      <c r="H21" s="7" t="s">
        <v>205</v>
      </c>
      <c r="I21" s="7" t="s">
        <v>206</v>
      </c>
      <c r="J21" s="8" t="n">
        <v>45213</v>
      </c>
      <c r="K21" s="8" t="n">
        <v>45273</v>
      </c>
      <c r="L21" s="9" t="n">
        <f aca="false">K21-J21</f>
        <v>60</v>
      </c>
      <c r="M21" s="10" t="n">
        <v>123671.38</v>
      </c>
      <c r="N21" s="7" t="s">
        <v>99</v>
      </c>
      <c r="O21" s="7" t="s">
        <v>147</v>
      </c>
      <c r="P21" s="7"/>
      <c r="Q21" s="7"/>
      <c r="R21" s="7"/>
    </row>
    <row r="22" customFormat="false" ht="15" hidden="false" customHeight="false" outlineLevel="0" collapsed="false">
      <c r="A22" s="7" t="s">
        <v>207</v>
      </c>
      <c r="B22" s="7" t="s">
        <v>208</v>
      </c>
      <c r="C22" s="7" t="s">
        <v>209</v>
      </c>
      <c r="D22" s="7" t="s">
        <v>114</v>
      </c>
      <c r="E22" s="7" t="s">
        <v>162</v>
      </c>
      <c r="F22" s="7" t="s">
        <v>143</v>
      </c>
      <c r="G22" s="7" t="s">
        <v>96</v>
      </c>
      <c r="H22" s="7" t="s">
        <v>108</v>
      </c>
      <c r="I22" s="7" t="s">
        <v>109</v>
      </c>
      <c r="J22" s="8" t="n">
        <v>45207</v>
      </c>
      <c r="K22" s="8" t="n">
        <v>45276</v>
      </c>
      <c r="L22" s="9" t="n">
        <f aca="false">K22-J22</f>
        <v>69</v>
      </c>
      <c r="M22" s="10" t="n">
        <v>180899.78</v>
      </c>
      <c r="N22" s="7" t="s">
        <v>99</v>
      </c>
      <c r="O22" s="7" t="s">
        <v>147</v>
      </c>
      <c r="P22" s="7"/>
      <c r="Q22" s="7"/>
      <c r="R22" s="7"/>
    </row>
    <row r="23" customFormat="false" ht="15" hidden="false" customHeight="false" outlineLevel="0" collapsed="false">
      <c r="A23" s="7" t="s">
        <v>210</v>
      </c>
      <c r="B23" s="7" t="s">
        <v>211</v>
      </c>
      <c r="C23" s="7" t="s">
        <v>212</v>
      </c>
      <c r="D23" s="7" t="s">
        <v>201</v>
      </c>
      <c r="E23" s="7" t="s">
        <v>105</v>
      </c>
      <c r="F23" s="7" t="s">
        <v>183</v>
      </c>
      <c r="G23" s="7" t="s">
        <v>144</v>
      </c>
      <c r="H23" s="7" t="s">
        <v>213</v>
      </c>
      <c r="I23" s="7" t="s">
        <v>214</v>
      </c>
      <c r="J23" s="8" t="n">
        <v>45222</v>
      </c>
      <c r="K23" s="8" t="n">
        <v>45285</v>
      </c>
      <c r="L23" s="9" t="n">
        <f aca="false">K23-J23</f>
        <v>63</v>
      </c>
      <c r="M23" s="10" t="n">
        <v>46795.32</v>
      </c>
      <c r="N23" s="7" t="s">
        <v>131</v>
      </c>
      <c r="O23" s="7"/>
      <c r="P23" s="8" t="n">
        <v>45308</v>
      </c>
      <c r="Q23" s="7" t="n">
        <v>2</v>
      </c>
      <c r="R23" s="8" t="n">
        <f aca="false">EDATE(P23,Q23)</f>
        <v>45368</v>
      </c>
    </row>
    <row r="24" customFormat="false" ht="15" hidden="false" customHeight="false" outlineLevel="0" collapsed="false">
      <c r="A24" s="7" t="s">
        <v>215</v>
      </c>
      <c r="B24" s="7" t="s">
        <v>193</v>
      </c>
      <c r="C24" s="7" t="s">
        <v>194</v>
      </c>
      <c r="D24" s="7" t="s">
        <v>195</v>
      </c>
      <c r="E24" s="7" t="s">
        <v>115</v>
      </c>
      <c r="F24" s="7" t="s">
        <v>157</v>
      </c>
      <c r="G24" s="7" t="s">
        <v>184</v>
      </c>
      <c r="H24" s="7" t="s">
        <v>185</v>
      </c>
      <c r="I24" s="7" t="s">
        <v>186</v>
      </c>
      <c r="J24" s="8" t="n">
        <v>45238</v>
      </c>
      <c r="K24" s="8" t="n">
        <v>45299</v>
      </c>
      <c r="L24" s="9" t="n">
        <f aca="false">K24-J24</f>
        <v>61</v>
      </c>
      <c r="M24" s="10" t="n">
        <v>43792.75</v>
      </c>
      <c r="N24" s="7" t="s">
        <v>131</v>
      </c>
      <c r="O24" s="7"/>
      <c r="P24" s="8" t="n">
        <v>45310</v>
      </c>
      <c r="Q24" s="7" t="n">
        <v>3</v>
      </c>
      <c r="R24" s="8" t="n">
        <f aca="false">EDATE(P24,Q24)</f>
        <v>45401</v>
      </c>
    </row>
    <row r="25" customFormat="false" ht="15" hidden="false" customHeight="false" outlineLevel="0" collapsed="false">
      <c r="A25" s="7" t="s">
        <v>216</v>
      </c>
      <c r="B25" s="7" t="s">
        <v>217</v>
      </c>
      <c r="C25" s="7" t="s">
        <v>218</v>
      </c>
      <c r="D25" s="7" t="s">
        <v>104</v>
      </c>
      <c r="E25" s="7" t="s">
        <v>105</v>
      </c>
      <c r="F25" s="7" t="s">
        <v>95</v>
      </c>
      <c r="G25" s="7" t="s">
        <v>137</v>
      </c>
      <c r="H25" s="7" t="s">
        <v>190</v>
      </c>
      <c r="I25" s="7" t="s">
        <v>191</v>
      </c>
      <c r="J25" s="8" t="n">
        <v>45219</v>
      </c>
      <c r="K25" s="8" t="n">
        <v>45301</v>
      </c>
      <c r="L25" s="9" t="n">
        <f aca="false">K25-J25</f>
        <v>82</v>
      </c>
      <c r="M25" s="10" t="n">
        <v>95571.34</v>
      </c>
      <c r="N25" s="7" t="s">
        <v>99</v>
      </c>
      <c r="O25" s="7" t="s">
        <v>219</v>
      </c>
      <c r="P25" s="7"/>
      <c r="Q25" s="7"/>
      <c r="R25" s="7"/>
    </row>
    <row r="26" customFormat="false" ht="15" hidden="false" customHeight="false" outlineLevel="0" collapsed="false">
      <c r="A26" s="7" t="s">
        <v>220</v>
      </c>
      <c r="B26" s="7" t="s">
        <v>221</v>
      </c>
      <c r="C26" s="7" t="s">
        <v>222</v>
      </c>
      <c r="D26" s="7" t="s">
        <v>135</v>
      </c>
      <c r="E26" s="7" t="s">
        <v>162</v>
      </c>
      <c r="F26" s="7" t="s">
        <v>106</v>
      </c>
      <c r="G26" s="7" t="s">
        <v>184</v>
      </c>
      <c r="H26" s="7" t="s">
        <v>223</v>
      </c>
      <c r="I26" s="7" t="s">
        <v>224</v>
      </c>
      <c r="J26" s="8" t="n">
        <v>45243</v>
      </c>
      <c r="K26" s="8" t="n">
        <v>45301</v>
      </c>
      <c r="L26" s="9" t="n">
        <f aca="false">K26-J26</f>
        <v>58</v>
      </c>
      <c r="M26" s="10" t="n">
        <v>91135.97</v>
      </c>
      <c r="N26" s="7" t="s">
        <v>131</v>
      </c>
      <c r="O26" s="7"/>
      <c r="P26" s="8" t="n">
        <v>45325</v>
      </c>
      <c r="Q26" s="7" t="n">
        <v>6</v>
      </c>
      <c r="R26" s="8" t="n">
        <f aca="false">EDATE(P26,Q26)</f>
        <v>45507</v>
      </c>
    </row>
    <row r="27" customFormat="false" ht="15" hidden="false" customHeight="false" outlineLevel="0" collapsed="false">
      <c r="A27" s="7" t="s">
        <v>225</v>
      </c>
      <c r="B27" s="7" t="s">
        <v>226</v>
      </c>
      <c r="C27" s="7" t="s">
        <v>227</v>
      </c>
      <c r="D27" s="7" t="s">
        <v>93</v>
      </c>
      <c r="E27" s="7" t="s">
        <v>105</v>
      </c>
      <c r="F27" s="7" t="s">
        <v>143</v>
      </c>
      <c r="G27" s="7" t="s">
        <v>137</v>
      </c>
      <c r="H27" s="7" t="s">
        <v>97</v>
      </c>
      <c r="I27" s="7" t="s">
        <v>98</v>
      </c>
      <c r="J27" s="8" t="n">
        <v>45196</v>
      </c>
      <c r="K27" s="8" t="n">
        <v>45309</v>
      </c>
      <c r="L27" s="9" t="n">
        <f aca="false">K27-J27</f>
        <v>113</v>
      </c>
      <c r="M27" s="10" t="n">
        <v>198899.81</v>
      </c>
      <c r="N27" s="7" t="s">
        <v>99</v>
      </c>
      <c r="O27" s="7" t="s">
        <v>124</v>
      </c>
      <c r="P27" s="7"/>
      <c r="Q27" s="7"/>
      <c r="R27" s="7"/>
    </row>
    <row r="28" customFormat="false" ht="15" hidden="false" customHeight="false" outlineLevel="0" collapsed="false">
      <c r="A28" s="7" t="s">
        <v>228</v>
      </c>
      <c r="B28" s="7" t="s">
        <v>229</v>
      </c>
      <c r="C28" s="7" t="s">
        <v>230</v>
      </c>
      <c r="D28" s="7" t="s">
        <v>93</v>
      </c>
      <c r="E28" s="7" t="s">
        <v>94</v>
      </c>
      <c r="F28" s="7" t="s">
        <v>143</v>
      </c>
      <c r="G28" s="7" t="s">
        <v>144</v>
      </c>
      <c r="H28" s="7" t="s">
        <v>231</v>
      </c>
      <c r="I28" s="7" t="s">
        <v>232</v>
      </c>
      <c r="J28" s="8" t="n">
        <v>45248</v>
      </c>
      <c r="K28" s="8" t="n">
        <v>45309</v>
      </c>
      <c r="L28" s="9" t="n">
        <f aca="false">K28-J28</f>
        <v>61</v>
      </c>
      <c r="M28" s="10" t="n">
        <v>52815.33</v>
      </c>
      <c r="N28" s="7" t="s">
        <v>99</v>
      </c>
      <c r="O28" s="7" t="s">
        <v>100</v>
      </c>
      <c r="P28" s="7"/>
      <c r="Q28" s="7"/>
      <c r="R28" s="7"/>
    </row>
    <row r="29" customFormat="false" ht="15" hidden="false" customHeight="false" outlineLevel="0" collapsed="false">
      <c r="A29" s="7" t="s">
        <v>233</v>
      </c>
      <c r="B29" s="7" t="s">
        <v>234</v>
      </c>
      <c r="C29" s="7" t="s">
        <v>235</v>
      </c>
      <c r="D29" s="7" t="s">
        <v>114</v>
      </c>
      <c r="E29" s="7" t="s">
        <v>115</v>
      </c>
      <c r="F29" s="7" t="s">
        <v>95</v>
      </c>
      <c r="G29" s="7" t="s">
        <v>144</v>
      </c>
      <c r="H29" s="7" t="s">
        <v>97</v>
      </c>
      <c r="I29" s="7" t="s">
        <v>98</v>
      </c>
      <c r="J29" s="8" t="n">
        <v>45217</v>
      </c>
      <c r="K29" s="8" t="n">
        <v>45318</v>
      </c>
      <c r="L29" s="9" t="n">
        <f aca="false">K29-J29</f>
        <v>101</v>
      </c>
      <c r="M29" s="10" t="n">
        <v>72010.39</v>
      </c>
      <c r="N29" s="7" t="s">
        <v>99</v>
      </c>
      <c r="O29" s="7" t="s">
        <v>147</v>
      </c>
      <c r="P29" s="7"/>
      <c r="Q29" s="7"/>
      <c r="R29" s="7"/>
    </row>
    <row r="30" customFormat="false" ht="15" hidden="false" customHeight="false" outlineLevel="0" collapsed="false">
      <c r="A30" s="7" t="s">
        <v>236</v>
      </c>
      <c r="B30" s="7" t="s">
        <v>237</v>
      </c>
      <c r="C30" s="7" t="s">
        <v>238</v>
      </c>
      <c r="D30" s="7" t="s">
        <v>195</v>
      </c>
      <c r="E30" s="7" t="s">
        <v>94</v>
      </c>
      <c r="F30" s="7" t="s">
        <v>157</v>
      </c>
      <c r="G30" s="7" t="s">
        <v>107</v>
      </c>
      <c r="H30" s="7" t="s">
        <v>180</v>
      </c>
      <c r="I30" s="7" t="s">
        <v>181</v>
      </c>
      <c r="J30" s="8" t="n">
        <v>45297</v>
      </c>
      <c r="K30" s="8" t="n">
        <v>45319</v>
      </c>
      <c r="L30" s="9" t="n">
        <f aca="false">K30-J30</f>
        <v>22</v>
      </c>
      <c r="M30" s="10" t="n">
        <v>41047.04</v>
      </c>
      <c r="N30" s="7" t="s">
        <v>131</v>
      </c>
      <c r="O30" s="7"/>
      <c r="P30" s="8" t="n">
        <v>45329</v>
      </c>
      <c r="Q30" s="7" t="n">
        <v>2</v>
      </c>
      <c r="R30" s="8" t="n">
        <f aca="false">EDATE(P30,Q30)</f>
        <v>45389</v>
      </c>
    </row>
    <row r="31" customFormat="false" ht="15" hidden="false" customHeight="false" outlineLevel="0" collapsed="false">
      <c r="A31" s="7" t="s">
        <v>239</v>
      </c>
      <c r="B31" s="7" t="s">
        <v>240</v>
      </c>
      <c r="C31" s="7" t="s">
        <v>241</v>
      </c>
      <c r="D31" s="7" t="s">
        <v>242</v>
      </c>
      <c r="E31" s="7" t="s">
        <v>105</v>
      </c>
      <c r="F31" s="7" t="s">
        <v>157</v>
      </c>
      <c r="G31" s="7" t="s">
        <v>107</v>
      </c>
      <c r="H31" s="7" t="s">
        <v>166</v>
      </c>
      <c r="I31" s="7" t="s">
        <v>167</v>
      </c>
      <c r="J31" s="8" t="n">
        <v>45255</v>
      </c>
      <c r="K31" s="8" t="n">
        <v>45319</v>
      </c>
      <c r="L31" s="9" t="n">
        <f aca="false">K31-J31</f>
        <v>64</v>
      </c>
      <c r="M31" s="10" t="n">
        <v>74489.47</v>
      </c>
      <c r="N31" s="7" t="s">
        <v>131</v>
      </c>
      <c r="O31" s="7"/>
      <c r="P31" s="8" t="n">
        <v>45339</v>
      </c>
      <c r="Q31" s="7" t="n">
        <v>5</v>
      </c>
      <c r="R31" s="8" t="n">
        <f aca="false">EDATE(P31,Q31)</f>
        <v>45490</v>
      </c>
    </row>
    <row r="32" customFormat="false" ht="15" hidden="false" customHeight="false" outlineLevel="0" collapsed="false">
      <c r="A32" s="7" t="s">
        <v>243</v>
      </c>
      <c r="B32" s="7" t="s">
        <v>244</v>
      </c>
      <c r="C32" s="7" t="s">
        <v>245</v>
      </c>
      <c r="D32" s="7" t="s">
        <v>135</v>
      </c>
      <c r="E32" s="7" t="s">
        <v>162</v>
      </c>
      <c r="F32" s="7" t="s">
        <v>95</v>
      </c>
      <c r="G32" s="7" t="s">
        <v>176</v>
      </c>
      <c r="H32" s="7" t="s">
        <v>205</v>
      </c>
      <c r="I32" s="7" t="s">
        <v>206</v>
      </c>
      <c r="J32" s="8" t="n">
        <v>45254</v>
      </c>
      <c r="K32" s="8" t="n">
        <v>45319</v>
      </c>
      <c r="L32" s="9" t="n">
        <f aca="false">K32-J32</f>
        <v>65</v>
      </c>
      <c r="M32" s="10" t="n">
        <v>86964.11</v>
      </c>
      <c r="N32" s="7" t="s">
        <v>99</v>
      </c>
      <c r="O32" s="7" t="s">
        <v>100</v>
      </c>
      <c r="P32" s="7"/>
      <c r="Q32" s="7"/>
      <c r="R32" s="7"/>
    </row>
    <row r="33" customFormat="false" ht="15" hidden="false" customHeight="false" outlineLevel="0" collapsed="false">
      <c r="A33" s="7" t="s">
        <v>246</v>
      </c>
      <c r="B33" s="7" t="s">
        <v>247</v>
      </c>
      <c r="C33" s="7" t="s">
        <v>248</v>
      </c>
      <c r="D33" s="7" t="s">
        <v>195</v>
      </c>
      <c r="E33" s="7" t="s">
        <v>94</v>
      </c>
      <c r="F33" s="7" t="s">
        <v>106</v>
      </c>
      <c r="G33" s="7" t="s">
        <v>96</v>
      </c>
      <c r="H33" s="7" t="s">
        <v>166</v>
      </c>
      <c r="I33" s="7" t="s">
        <v>167</v>
      </c>
      <c r="J33" s="8" t="n">
        <v>45270</v>
      </c>
      <c r="K33" s="8" t="n">
        <v>45323</v>
      </c>
      <c r="L33" s="9" t="n">
        <f aca="false">K33-J33</f>
        <v>53</v>
      </c>
      <c r="M33" s="10" t="n">
        <v>170523.26</v>
      </c>
      <c r="N33" s="7" t="s">
        <v>99</v>
      </c>
      <c r="O33" s="7" t="s">
        <v>100</v>
      </c>
      <c r="P33" s="7"/>
      <c r="Q33" s="7"/>
      <c r="R33" s="7"/>
    </row>
    <row r="34" customFormat="false" ht="15" hidden="false" customHeight="false" outlineLevel="0" collapsed="false">
      <c r="A34" s="7" t="s">
        <v>249</v>
      </c>
      <c r="B34" s="7" t="s">
        <v>250</v>
      </c>
      <c r="C34" s="7" t="s">
        <v>251</v>
      </c>
      <c r="D34" s="7" t="s">
        <v>195</v>
      </c>
      <c r="E34" s="7" t="s">
        <v>105</v>
      </c>
      <c r="F34" s="7" t="s">
        <v>95</v>
      </c>
      <c r="G34" s="7" t="s">
        <v>176</v>
      </c>
      <c r="H34" s="7" t="s">
        <v>205</v>
      </c>
      <c r="I34" s="7" t="s">
        <v>206</v>
      </c>
      <c r="J34" s="8" t="n">
        <v>45238</v>
      </c>
      <c r="K34" s="8" t="n">
        <v>45326</v>
      </c>
      <c r="L34" s="9" t="n">
        <f aca="false">K34-J34</f>
        <v>88</v>
      </c>
      <c r="M34" s="10" t="n">
        <v>101426.29</v>
      </c>
      <c r="N34" s="7" t="s">
        <v>131</v>
      </c>
      <c r="O34" s="7"/>
      <c r="P34" s="8" t="n">
        <v>45330</v>
      </c>
      <c r="Q34" s="7" t="n">
        <v>1</v>
      </c>
      <c r="R34" s="8" t="n">
        <f aca="false">EDATE(P34,Q34)</f>
        <v>45359</v>
      </c>
    </row>
    <row r="35" customFormat="false" ht="15" hidden="false" customHeight="false" outlineLevel="0" collapsed="false">
      <c r="A35" s="7" t="s">
        <v>252</v>
      </c>
      <c r="B35" s="7" t="s">
        <v>253</v>
      </c>
      <c r="C35" s="7" t="s">
        <v>254</v>
      </c>
      <c r="D35" s="7" t="s">
        <v>242</v>
      </c>
      <c r="E35" s="7" t="s">
        <v>105</v>
      </c>
      <c r="F35" s="7" t="s">
        <v>116</v>
      </c>
      <c r="G35" s="7" t="s">
        <v>144</v>
      </c>
      <c r="H35" s="7" t="s">
        <v>223</v>
      </c>
      <c r="I35" s="7" t="s">
        <v>224</v>
      </c>
      <c r="J35" s="8" t="n">
        <v>45236</v>
      </c>
      <c r="K35" s="8" t="n">
        <v>45327</v>
      </c>
      <c r="L35" s="9" t="n">
        <f aca="false">K35-J35</f>
        <v>91</v>
      </c>
      <c r="M35" s="10" t="n">
        <v>225515.7</v>
      </c>
      <c r="N35" s="7" t="s">
        <v>131</v>
      </c>
      <c r="O35" s="7"/>
      <c r="P35" s="8" t="n">
        <v>45341</v>
      </c>
      <c r="Q35" s="7" t="n">
        <v>7</v>
      </c>
      <c r="R35" s="8" t="n">
        <f aca="false">EDATE(P35,Q35)</f>
        <v>45554</v>
      </c>
    </row>
    <row r="36" customFormat="false" ht="15" hidden="false" customHeight="false" outlineLevel="0" collapsed="false">
      <c r="A36" s="7" t="s">
        <v>255</v>
      </c>
      <c r="B36" s="7" t="s">
        <v>256</v>
      </c>
      <c r="C36" s="7" t="s">
        <v>257</v>
      </c>
      <c r="D36" s="7" t="s">
        <v>135</v>
      </c>
      <c r="E36" s="7" t="s">
        <v>162</v>
      </c>
      <c r="F36" s="7" t="s">
        <v>116</v>
      </c>
      <c r="G36" s="7" t="s">
        <v>117</v>
      </c>
      <c r="H36" s="7" t="s">
        <v>258</v>
      </c>
      <c r="I36" s="7" t="s">
        <v>259</v>
      </c>
      <c r="J36" s="8" t="n">
        <v>45260</v>
      </c>
      <c r="K36" s="8" t="n">
        <v>45328</v>
      </c>
      <c r="L36" s="9" t="n">
        <f aca="false">K36-J36</f>
        <v>68</v>
      </c>
      <c r="M36" s="10" t="n">
        <v>138046.84</v>
      </c>
      <c r="N36" s="7" t="s">
        <v>131</v>
      </c>
      <c r="O36" s="7"/>
      <c r="P36" s="8" t="n">
        <v>45348</v>
      </c>
      <c r="Q36" s="7" t="n">
        <v>7</v>
      </c>
      <c r="R36" s="8" t="n">
        <f aca="false">EDATE(P36,Q36)</f>
        <v>45561</v>
      </c>
    </row>
    <row r="37" customFormat="false" ht="15" hidden="false" customHeight="false" outlineLevel="0" collapsed="false">
      <c r="A37" s="7" t="s">
        <v>260</v>
      </c>
      <c r="B37" s="7" t="s">
        <v>261</v>
      </c>
      <c r="C37" s="7" t="s">
        <v>262</v>
      </c>
      <c r="D37" s="7" t="s">
        <v>93</v>
      </c>
      <c r="E37" s="7" t="s">
        <v>94</v>
      </c>
      <c r="F37" s="7" t="s">
        <v>183</v>
      </c>
      <c r="G37" s="7" t="s">
        <v>144</v>
      </c>
      <c r="H37" s="7" t="s">
        <v>166</v>
      </c>
      <c r="I37" s="7" t="s">
        <v>167</v>
      </c>
      <c r="J37" s="8" t="n">
        <v>45212</v>
      </c>
      <c r="K37" s="8" t="n">
        <v>45335</v>
      </c>
      <c r="L37" s="9" t="n">
        <f aca="false">K37-J37</f>
        <v>123</v>
      </c>
      <c r="M37" s="10" t="n">
        <v>85056.79</v>
      </c>
      <c r="N37" s="7" t="s">
        <v>99</v>
      </c>
      <c r="O37" s="7" t="s">
        <v>124</v>
      </c>
      <c r="P37" s="7"/>
      <c r="Q37" s="7"/>
      <c r="R37" s="7"/>
    </row>
    <row r="38" customFormat="false" ht="15" hidden="false" customHeight="false" outlineLevel="0" collapsed="false">
      <c r="A38" s="7" t="s">
        <v>263</v>
      </c>
      <c r="B38" s="7" t="s">
        <v>256</v>
      </c>
      <c r="C38" s="7" t="s">
        <v>257</v>
      </c>
      <c r="D38" s="7" t="s">
        <v>135</v>
      </c>
      <c r="E38" s="7" t="s">
        <v>162</v>
      </c>
      <c r="F38" s="7" t="s">
        <v>116</v>
      </c>
      <c r="G38" s="7" t="s">
        <v>117</v>
      </c>
      <c r="H38" s="7" t="s">
        <v>258</v>
      </c>
      <c r="I38" s="7" t="s">
        <v>259</v>
      </c>
      <c r="J38" s="8" t="n">
        <v>45234</v>
      </c>
      <c r="K38" s="8" t="n">
        <v>45335</v>
      </c>
      <c r="L38" s="9" t="n">
        <f aca="false">K38-J38</f>
        <v>101</v>
      </c>
      <c r="M38" s="10" t="n">
        <v>86505.77</v>
      </c>
      <c r="N38" s="7" t="s">
        <v>131</v>
      </c>
      <c r="O38" s="7"/>
      <c r="P38" s="8" t="n">
        <v>45339</v>
      </c>
      <c r="Q38" s="7" t="n">
        <v>8</v>
      </c>
      <c r="R38" s="8" t="n">
        <f aca="false">EDATE(P38,Q38)</f>
        <v>45582</v>
      </c>
    </row>
    <row r="39" customFormat="false" ht="15" hidden="false" customHeight="false" outlineLevel="0" collapsed="false">
      <c r="A39" s="7" t="s">
        <v>264</v>
      </c>
      <c r="B39" s="7" t="s">
        <v>265</v>
      </c>
      <c r="C39" s="7" t="s">
        <v>266</v>
      </c>
      <c r="D39" s="7" t="s">
        <v>151</v>
      </c>
      <c r="E39" s="7" t="s">
        <v>115</v>
      </c>
      <c r="F39" s="7" t="s">
        <v>106</v>
      </c>
      <c r="G39" s="7" t="s">
        <v>96</v>
      </c>
      <c r="H39" s="7" t="s">
        <v>223</v>
      </c>
      <c r="I39" s="7" t="s">
        <v>224</v>
      </c>
      <c r="J39" s="8" t="n">
        <v>45274</v>
      </c>
      <c r="K39" s="8" t="n">
        <v>45343</v>
      </c>
      <c r="L39" s="9" t="n">
        <f aca="false">K39-J39</f>
        <v>69</v>
      </c>
      <c r="M39" s="10" t="n">
        <v>90808.08</v>
      </c>
      <c r="N39" s="7" t="s">
        <v>99</v>
      </c>
      <c r="O39" s="7" t="s">
        <v>100</v>
      </c>
      <c r="P39" s="7"/>
      <c r="Q39" s="7"/>
      <c r="R39" s="7"/>
    </row>
    <row r="40" customFormat="false" ht="15" hidden="false" customHeight="false" outlineLevel="0" collapsed="false">
      <c r="A40" s="7" t="s">
        <v>267</v>
      </c>
      <c r="B40" s="7" t="s">
        <v>268</v>
      </c>
      <c r="C40" s="7" t="s">
        <v>269</v>
      </c>
      <c r="D40" s="7" t="s">
        <v>104</v>
      </c>
      <c r="E40" s="7" t="s">
        <v>105</v>
      </c>
      <c r="F40" s="7" t="s">
        <v>183</v>
      </c>
      <c r="G40" s="7" t="s">
        <v>137</v>
      </c>
      <c r="H40" s="7" t="s">
        <v>270</v>
      </c>
      <c r="I40" s="7" t="s">
        <v>271</v>
      </c>
      <c r="J40" s="8" t="n">
        <v>45280</v>
      </c>
      <c r="K40" s="8" t="n">
        <v>45344</v>
      </c>
      <c r="L40" s="9" t="n">
        <f aca="false">K40-J40</f>
        <v>64</v>
      </c>
      <c r="M40" s="10" t="n">
        <v>39018.82</v>
      </c>
      <c r="N40" s="7" t="s">
        <v>99</v>
      </c>
      <c r="O40" s="7" t="s">
        <v>118</v>
      </c>
      <c r="P40" s="7"/>
      <c r="Q40" s="7"/>
      <c r="R40" s="7"/>
    </row>
    <row r="41" customFormat="false" ht="15" hidden="false" customHeight="false" outlineLevel="0" collapsed="false">
      <c r="A41" s="7" t="s">
        <v>272</v>
      </c>
      <c r="B41" s="7" t="s">
        <v>273</v>
      </c>
      <c r="C41" s="7" t="s">
        <v>274</v>
      </c>
      <c r="D41" s="7" t="s">
        <v>195</v>
      </c>
      <c r="E41" s="7" t="s">
        <v>94</v>
      </c>
      <c r="F41" s="7" t="s">
        <v>128</v>
      </c>
      <c r="G41" s="7" t="s">
        <v>107</v>
      </c>
      <c r="H41" s="7" t="s">
        <v>138</v>
      </c>
      <c r="I41" s="7" t="s">
        <v>139</v>
      </c>
      <c r="J41" s="8" t="n">
        <v>45262</v>
      </c>
      <c r="K41" s="8" t="n">
        <v>45345</v>
      </c>
      <c r="L41" s="9" t="n">
        <f aca="false">K41-J41</f>
        <v>83</v>
      </c>
      <c r="M41" s="10" t="n">
        <v>93703.96</v>
      </c>
      <c r="N41" s="7" t="s">
        <v>131</v>
      </c>
      <c r="O41" s="7"/>
      <c r="P41" s="8" t="n">
        <v>45349</v>
      </c>
      <c r="Q41" s="7" t="n">
        <v>3</v>
      </c>
      <c r="R41" s="8" t="n">
        <f aca="false">EDATE(P41,Q41)</f>
        <v>45439</v>
      </c>
    </row>
    <row r="42" customFormat="false" ht="15" hidden="false" customHeight="false" outlineLevel="0" collapsed="false">
      <c r="A42" s="7" t="s">
        <v>275</v>
      </c>
      <c r="B42" s="7" t="s">
        <v>276</v>
      </c>
      <c r="C42" s="7" t="s">
        <v>277</v>
      </c>
      <c r="D42" s="7" t="s">
        <v>114</v>
      </c>
      <c r="E42" s="7" t="s">
        <v>162</v>
      </c>
      <c r="F42" s="7" t="s">
        <v>183</v>
      </c>
      <c r="G42" s="7" t="s">
        <v>144</v>
      </c>
      <c r="H42" s="7" t="s">
        <v>278</v>
      </c>
      <c r="I42" s="7" t="s">
        <v>279</v>
      </c>
      <c r="J42" s="8" t="n">
        <v>45296</v>
      </c>
      <c r="K42" s="8" t="n">
        <v>45350</v>
      </c>
      <c r="L42" s="9" t="n">
        <f aca="false">K42-J42</f>
        <v>54</v>
      </c>
      <c r="M42" s="10" t="n">
        <v>154863.47</v>
      </c>
      <c r="N42" s="7" t="s">
        <v>99</v>
      </c>
      <c r="O42" s="7" t="s">
        <v>124</v>
      </c>
      <c r="P42" s="7"/>
      <c r="Q42" s="7"/>
      <c r="R42" s="7"/>
    </row>
    <row r="43" customFormat="false" ht="15" hidden="false" customHeight="false" outlineLevel="0" collapsed="false">
      <c r="A43" s="7" t="s">
        <v>280</v>
      </c>
      <c r="B43" s="7" t="s">
        <v>188</v>
      </c>
      <c r="C43" s="7" t="s">
        <v>189</v>
      </c>
      <c r="D43" s="7" t="s">
        <v>151</v>
      </c>
      <c r="E43" s="7" t="s">
        <v>105</v>
      </c>
      <c r="F43" s="7" t="s">
        <v>106</v>
      </c>
      <c r="G43" s="7" t="s">
        <v>176</v>
      </c>
      <c r="H43" s="7" t="s">
        <v>281</v>
      </c>
      <c r="I43" s="7" t="s">
        <v>282</v>
      </c>
      <c r="J43" s="8" t="n">
        <v>45212</v>
      </c>
      <c r="K43" s="8" t="n">
        <v>45350</v>
      </c>
      <c r="L43" s="9" t="n">
        <f aca="false">K43-J43</f>
        <v>138</v>
      </c>
      <c r="M43" s="10" t="n">
        <v>401197.37</v>
      </c>
      <c r="N43" s="7" t="s">
        <v>131</v>
      </c>
      <c r="O43" s="7"/>
      <c r="P43" s="8" t="n">
        <v>45358</v>
      </c>
      <c r="Q43" s="7" t="n">
        <v>2</v>
      </c>
      <c r="R43" s="8" t="n">
        <f aca="false">EDATE(P43,Q43)</f>
        <v>45419</v>
      </c>
    </row>
    <row r="44" customFormat="false" ht="15" hidden="false" customHeight="false" outlineLevel="0" collapsed="false">
      <c r="A44" s="7" t="s">
        <v>283</v>
      </c>
      <c r="B44" s="7" t="s">
        <v>284</v>
      </c>
      <c r="C44" s="7" t="s">
        <v>285</v>
      </c>
      <c r="D44" s="7" t="s">
        <v>201</v>
      </c>
      <c r="E44" s="7" t="s">
        <v>105</v>
      </c>
      <c r="F44" s="7" t="s">
        <v>136</v>
      </c>
      <c r="G44" s="7" t="s">
        <v>144</v>
      </c>
      <c r="H44" s="7" t="s">
        <v>180</v>
      </c>
      <c r="I44" s="7" t="s">
        <v>181</v>
      </c>
      <c r="J44" s="8" t="n">
        <v>45262</v>
      </c>
      <c r="K44" s="8" t="n">
        <v>45354</v>
      </c>
      <c r="L44" s="9" t="n">
        <f aca="false">K44-J44</f>
        <v>92</v>
      </c>
      <c r="M44" s="10" t="n">
        <v>211887.66</v>
      </c>
      <c r="N44" s="7" t="s">
        <v>99</v>
      </c>
      <c r="O44" s="7" t="s">
        <v>219</v>
      </c>
      <c r="P44" s="7"/>
      <c r="Q44" s="7"/>
      <c r="R44" s="7"/>
    </row>
    <row r="45" customFormat="false" ht="15" hidden="false" customHeight="false" outlineLevel="0" collapsed="false">
      <c r="A45" s="7" t="s">
        <v>286</v>
      </c>
      <c r="B45" s="7" t="s">
        <v>287</v>
      </c>
      <c r="C45" s="7" t="s">
        <v>288</v>
      </c>
      <c r="D45" s="7" t="s">
        <v>151</v>
      </c>
      <c r="E45" s="7" t="s">
        <v>94</v>
      </c>
      <c r="F45" s="7" t="s">
        <v>143</v>
      </c>
      <c r="G45" s="7" t="s">
        <v>176</v>
      </c>
      <c r="H45" s="7" t="s">
        <v>138</v>
      </c>
      <c r="I45" s="7" t="s">
        <v>139</v>
      </c>
      <c r="J45" s="8" t="n">
        <v>45291</v>
      </c>
      <c r="K45" s="8" t="n">
        <v>45357</v>
      </c>
      <c r="L45" s="9" t="n">
        <f aca="false">K45-J45</f>
        <v>66</v>
      </c>
      <c r="M45" s="10" t="n">
        <v>113498.02</v>
      </c>
      <c r="N45" s="7" t="s">
        <v>99</v>
      </c>
      <c r="O45" s="7" t="s">
        <v>147</v>
      </c>
      <c r="P45" s="7"/>
      <c r="Q45" s="7"/>
      <c r="R45" s="7"/>
    </row>
    <row r="46" customFormat="false" ht="15" hidden="false" customHeight="false" outlineLevel="0" collapsed="false">
      <c r="A46" s="7" t="s">
        <v>289</v>
      </c>
      <c r="B46" s="7" t="s">
        <v>149</v>
      </c>
      <c r="C46" s="7" t="s">
        <v>150</v>
      </c>
      <c r="D46" s="7" t="s">
        <v>151</v>
      </c>
      <c r="E46" s="7" t="s">
        <v>94</v>
      </c>
      <c r="F46" s="7" t="s">
        <v>136</v>
      </c>
      <c r="G46" s="7" t="s">
        <v>117</v>
      </c>
      <c r="H46" s="7" t="s">
        <v>196</v>
      </c>
      <c r="I46" s="7" t="s">
        <v>197</v>
      </c>
      <c r="J46" s="8" t="n">
        <v>45305</v>
      </c>
      <c r="K46" s="8" t="n">
        <v>45363</v>
      </c>
      <c r="L46" s="9" t="n">
        <f aca="false">K46-J46</f>
        <v>58</v>
      </c>
      <c r="M46" s="10" t="n">
        <v>104282.91</v>
      </c>
      <c r="N46" s="7" t="s">
        <v>131</v>
      </c>
      <c r="O46" s="7"/>
      <c r="P46" s="8" t="n">
        <v>45387</v>
      </c>
      <c r="Q46" s="7" t="n">
        <v>4</v>
      </c>
      <c r="R46" s="8" t="n">
        <f aca="false">EDATE(P46,Q46)</f>
        <v>45509</v>
      </c>
    </row>
    <row r="47" customFormat="false" ht="15" hidden="false" customHeight="false" outlineLevel="0" collapsed="false">
      <c r="A47" s="7" t="s">
        <v>290</v>
      </c>
      <c r="B47" s="7" t="s">
        <v>291</v>
      </c>
      <c r="C47" s="7" t="s">
        <v>292</v>
      </c>
      <c r="D47" s="7" t="s">
        <v>201</v>
      </c>
      <c r="E47" s="7" t="s">
        <v>94</v>
      </c>
      <c r="F47" s="7" t="s">
        <v>95</v>
      </c>
      <c r="G47" s="7" t="s">
        <v>96</v>
      </c>
      <c r="H47" s="7" t="s">
        <v>196</v>
      </c>
      <c r="I47" s="7" t="s">
        <v>197</v>
      </c>
      <c r="J47" s="8" t="n">
        <v>45278</v>
      </c>
      <c r="K47" s="8" t="n">
        <v>45363</v>
      </c>
      <c r="L47" s="9" t="n">
        <f aca="false">K47-J47</f>
        <v>85</v>
      </c>
      <c r="M47" s="10" t="n">
        <v>22811.49</v>
      </c>
      <c r="N47" s="7" t="s">
        <v>131</v>
      </c>
      <c r="O47" s="7"/>
      <c r="P47" s="8" t="n">
        <v>45387</v>
      </c>
      <c r="Q47" s="7" t="n">
        <v>2</v>
      </c>
      <c r="R47" s="8" t="n">
        <f aca="false">EDATE(P47,Q47)</f>
        <v>45448</v>
      </c>
    </row>
    <row r="48" customFormat="false" ht="15" hidden="false" customHeight="false" outlineLevel="0" collapsed="false">
      <c r="A48" s="7" t="s">
        <v>293</v>
      </c>
      <c r="B48" s="7" t="s">
        <v>294</v>
      </c>
      <c r="C48" s="7" t="s">
        <v>295</v>
      </c>
      <c r="D48" s="7" t="s">
        <v>93</v>
      </c>
      <c r="E48" s="7" t="s">
        <v>94</v>
      </c>
      <c r="F48" s="7" t="s">
        <v>157</v>
      </c>
      <c r="G48" s="7" t="s">
        <v>96</v>
      </c>
      <c r="H48" s="7" t="s">
        <v>177</v>
      </c>
      <c r="I48" s="7" t="s">
        <v>178</v>
      </c>
      <c r="J48" s="8" t="n">
        <v>45267</v>
      </c>
      <c r="K48" s="8" t="n">
        <v>45363</v>
      </c>
      <c r="L48" s="9" t="n">
        <f aca="false">K48-J48</f>
        <v>96</v>
      </c>
      <c r="M48" s="10" t="n">
        <v>56858.3</v>
      </c>
      <c r="N48" s="7" t="s">
        <v>99</v>
      </c>
      <c r="O48" s="7" t="s">
        <v>118</v>
      </c>
      <c r="P48" s="7"/>
      <c r="Q48" s="7"/>
      <c r="R48" s="7"/>
    </row>
    <row r="49" customFormat="false" ht="15" hidden="false" customHeight="false" outlineLevel="0" collapsed="false">
      <c r="A49" s="7" t="s">
        <v>296</v>
      </c>
      <c r="B49" s="7" t="s">
        <v>297</v>
      </c>
      <c r="C49" s="7" t="s">
        <v>298</v>
      </c>
      <c r="D49" s="7" t="s">
        <v>201</v>
      </c>
      <c r="E49" s="7" t="s">
        <v>162</v>
      </c>
      <c r="F49" s="7" t="s">
        <v>157</v>
      </c>
      <c r="G49" s="7" t="s">
        <v>117</v>
      </c>
      <c r="H49" s="7" t="s">
        <v>196</v>
      </c>
      <c r="I49" s="7" t="s">
        <v>197</v>
      </c>
      <c r="J49" s="8" t="n">
        <v>45289</v>
      </c>
      <c r="K49" s="8" t="n">
        <v>45363</v>
      </c>
      <c r="L49" s="9" t="n">
        <f aca="false">K49-J49</f>
        <v>74</v>
      </c>
      <c r="M49" s="10" t="n">
        <v>64729.4</v>
      </c>
      <c r="N49" s="7" t="s">
        <v>131</v>
      </c>
      <c r="O49" s="7"/>
      <c r="P49" s="8" t="n">
        <v>45366</v>
      </c>
      <c r="Q49" s="7" t="n">
        <v>5</v>
      </c>
      <c r="R49" s="8" t="n">
        <f aca="false">EDATE(P49,Q49)</f>
        <v>45519</v>
      </c>
    </row>
    <row r="50" customFormat="false" ht="15" hidden="false" customHeight="false" outlineLevel="0" collapsed="false">
      <c r="A50" s="7" t="s">
        <v>299</v>
      </c>
      <c r="B50" s="7" t="s">
        <v>300</v>
      </c>
      <c r="C50" s="7" t="s">
        <v>301</v>
      </c>
      <c r="D50" s="7" t="s">
        <v>104</v>
      </c>
      <c r="E50" s="7" t="s">
        <v>94</v>
      </c>
      <c r="F50" s="7" t="s">
        <v>143</v>
      </c>
      <c r="G50" s="7" t="s">
        <v>96</v>
      </c>
      <c r="H50" s="7" t="s">
        <v>278</v>
      </c>
      <c r="I50" s="7" t="s">
        <v>279</v>
      </c>
      <c r="J50" s="8" t="n">
        <v>45270</v>
      </c>
      <c r="K50" s="8" t="n">
        <v>45366</v>
      </c>
      <c r="L50" s="9" t="n">
        <f aca="false">K50-J50</f>
        <v>96</v>
      </c>
      <c r="M50" s="10" t="n">
        <v>89744.97</v>
      </c>
      <c r="N50" s="7" t="s">
        <v>99</v>
      </c>
      <c r="O50" s="7" t="s">
        <v>124</v>
      </c>
      <c r="P50" s="7"/>
      <c r="Q50" s="7"/>
      <c r="R50" s="7"/>
    </row>
    <row r="51" customFormat="false" ht="15" hidden="false" customHeight="false" outlineLevel="0" collapsed="false">
      <c r="A51" s="7" t="s">
        <v>302</v>
      </c>
      <c r="B51" s="7" t="s">
        <v>303</v>
      </c>
      <c r="C51" s="7" t="s">
        <v>304</v>
      </c>
      <c r="D51" s="7" t="s">
        <v>93</v>
      </c>
      <c r="E51" s="7" t="s">
        <v>115</v>
      </c>
      <c r="F51" s="7" t="s">
        <v>183</v>
      </c>
      <c r="G51" s="7" t="s">
        <v>96</v>
      </c>
      <c r="H51" s="7" t="s">
        <v>305</v>
      </c>
      <c r="I51" s="7" t="s">
        <v>306</v>
      </c>
      <c r="J51" s="8" t="n">
        <v>45310</v>
      </c>
      <c r="K51" s="8" t="n">
        <v>45367</v>
      </c>
      <c r="L51" s="9" t="n">
        <f aca="false">K51-J51</f>
        <v>57</v>
      </c>
      <c r="M51" s="10" t="n">
        <v>89737.66</v>
      </c>
      <c r="N51" s="7" t="s">
        <v>131</v>
      </c>
      <c r="O51" s="7"/>
      <c r="P51" s="8" t="n">
        <v>45380</v>
      </c>
      <c r="Q51" s="7" t="n">
        <v>2</v>
      </c>
      <c r="R51" s="8" t="n">
        <f aca="false">EDATE(P51,Q51)</f>
        <v>45441</v>
      </c>
    </row>
    <row r="52" customFormat="false" ht="15" hidden="false" customHeight="false" outlineLevel="0" collapsed="false">
      <c r="A52" s="7" t="s">
        <v>307</v>
      </c>
      <c r="B52" s="7" t="s">
        <v>308</v>
      </c>
      <c r="C52" s="7" t="s">
        <v>309</v>
      </c>
      <c r="D52" s="7" t="s">
        <v>195</v>
      </c>
      <c r="E52" s="7" t="s">
        <v>105</v>
      </c>
      <c r="F52" s="7" t="s">
        <v>183</v>
      </c>
      <c r="G52" s="7" t="s">
        <v>176</v>
      </c>
      <c r="H52" s="7" t="s">
        <v>145</v>
      </c>
      <c r="I52" s="7" t="s">
        <v>146</v>
      </c>
      <c r="J52" s="8" t="n">
        <v>45305</v>
      </c>
      <c r="K52" s="8" t="n">
        <v>45367</v>
      </c>
      <c r="L52" s="9" t="n">
        <f aca="false">K52-J52</f>
        <v>62</v>
      </c>
      <c r="M52" s="10" t="n">
        <v>134518.35</v>
      </c>
      <c r="N52" s="7" t="s">
        <v>131</v>
      </c>
      <c r="O52" s="7"/>
      <c r="P52" s="8" t="n">
        <v>45389</v>
      </c>
      <c r="Q52" s="7" t="n">
        <v>3</v>
      </c>
      <c r="R52" s="8" t="n">
        <f aca="false">EDATE(P52,Q52)</f>
        <v>45480</v>
      </c>
    </row>
    <row r="53" customFormat="false" ht="15" hidden="false" customHeight="false" outlineLevel="0" collapsed="false">
      <c r="A53" s="7" t="s">
        <v>310</v>
      </c>
      <c r="B53" s="7" t="s">
        <v>311</v>
      </c>
      <c r="C53" s="7" t="s">
        <v>312</v>
      </c>
      <c r="D53" s="7" t="s">
        <v>135</v>
      </c>
      <c r="E53" s="7" t="s">
        <v>105</v>
      </c>
      <c r="F53" s="7" t="s">
        <v>143</v>
      </c>
      <c r="G53" s="7" t="s">
        <v>107</v>
      </c>
      <c r="H53" s="7" t="s">
        <v>185</v>
      </c>
      <c r="I53" s="7" t="s">
        <v>186</v>
      </c>
      <c r="J53" s="8" t="n">
        <v>45242</v>
      </c>
      <c r="K53" s="8" t="n">
        <v>45370</v>
      </c>
      <c r="L53" s="9" t="n">
        <f aca="false">K53-J53</f>
        <v>128</v>
      </c>
      <c r="M53" s="10" t="n">
        <v>146441.22</v>
      </c>
      <c r="N53" s="7" t="s">
        <v>99</v>
      </c>
      <c r="O53" s="7" t="s">
        <v>100</v>
      </c>
      <c r="P53" s="7"/>
      <c r="Q53" s="7"/>
      <c r="R53" s="7"/>
    </row>
    <row r="54" customFormat="false" ht="15" hidden="false" customHeight="false" outlineLevel="0" collapsed="false">
      <c r="A54" s="7" t="s">
        <v>313</v>
      </c>
      <c r="B54" s="7" t="s">
        <v>240</v>
      </c>
      <c r="C54" s="7" t="s">
        <v>241</v>
      </c>
      <c r="D54" s="7" t="s">
        <v>242</v>
      </c>
      <c r="E54" s="7" t="s">
        <v>105</v>
      </c>
      <c r="F54" s="7" t="s">
        <v>143</v>
      </c>
      <c r="G54" s="7" t="s">
        <v>176</v>
      </c>
      <c r="H54" s="7" t="s">
        <v>231</v>
      </c>
      <c r="I54" s="7" t="s">
        <v>232</v>
      </c>
      <c r="J54" s="8" t="n">
        <v>45253</v>
      </c>
      <c r="K54" s="8" t="n">
        <v>45371</v>
      </c>
      <c r="L54" s="9" t="n">
        <f aca="false">K54-J54</f>
        <v>118</v>
      </c>
      <c r="M54" s="10" t="n">
        <v>134375.41</v>
      </c>
      <c r="N54" s="7" t="s">
        <v>131</v>
      </c>
      <c r="O54" s="7"/>
      <c r="P54" s="8" t="n">
        <v>45376</v>
      </c>
      <c r="Q54" s="7" t="n">
        <v>4</v>
      </c>
      <c r="R54" s="8" t="n">
        <f aca="false">EDATE(P54,Q54)</f>
        <v>45498</v>
      </c>
    </row>
    <row r="55" customFormat="false" ht="15" hidden="false" customHeight="false" outlineLevel="0" collapsed="false">
      <c r="A55" s="7" t="s">
        <v>314</v>
      </c>
      <c r="B55" s="7" t="s">
        <v>315</v>
      </c>
      <c r="C55" s="7" t="s">
        <v>316</v>
      </c>
      <c r="D55" s="7" t="s">
        <v>195</v>
      </c>
      <c r="E55" s="7" t="s">
        <v>162</v>
      </c>
      <c r="F55" s="7" t="s">
        <v>143</v>
      </c>
      <c r="G55" s="7" t="s">
        <v>117</v>
      </c>
      <c r="H55" s="7" t="s">
        <v>145</v>
      </c>
      <c r="I55" s="7" t="s">
        <v>146</v>
      </c>
      <c r="J55" s="8" t="n">
        <v>45271</v>
      </c>
      <c r="K55" s="8" t="n">
        <v>45372</v>
      </c>
      <c r="L55" s="9" t="n">
        <f aca="false">K55-J55</f>
        <v>101</v>
      </c>
      <c r="M55" s="10" t="n">
        <v>156917.43</v>
      </c>
      <c r="N55" s="7" t="s">
        <v>131</v>
      </c>
      <c r="O55" s="7"/>
      <c r="P55" s="8" t="n">
        <v>45393</v>
      </c>
      <c r="Q55" s="7" t="n">
        <v>9</v>
      </c>
      <c r="R55" s="8" t="n">
        <f aca="false">EDATE(P55,Q55)</f>
        <v>45668</v>
      </c>
    </row>
    <row r="56" customFormat="false" ht="15" hidden="false" customHeight="false" outlineLevel="0" collapsed="false">
      <c r="A56" s="7" t="s">
        <v>317</v>
      </c>
      <c r="B56" s="7" t="s">
        <v>318</v>
      </c>
      <c r="C56" s="7" t="s">
        <v>319</v>
      </c>
      <c r="D56" s="7" t="s">
        <v>114</v>
      </c>
      <c r="E56" s="7" t="s">
        <v>94</v>
      </c>
      <c r="F56" s="7" t="s">
        <v>183</v>
      </c>
      <c r="G56" s="7" t="s">
        <v>117</v>
      </c>
      <c r="H56" s="7" t="s">
        <v>152</v>
      </c>
      <c r="I56" s="7" t="s">
        <v>153</v>
      </c>
      <c r="J56" s="8" t="n">
        <v>45291</v>
      </c>
      <c r="K56" s="8" t="n">
        <v>45372</v>
      </c>
      <c r="L56" s="9" t="n">
        <f aca="false">K56-J56</f>
        <v>81</v>
      </c>
      <c r="M56" s="10" t="n">
        <v>129653.96</v>
      </c>
      <c r="N56" s="7" t="s">
        <v>131</v>
      </c>
      <c r="O56" s="7"/>
      <c r="P56" s="8" t="n">
        <v>45374</v>
      </c>
      <c r="Q56" s="7" t="n">
        <v>2</v>
      </c>
      <c r="R56" s="8" t="n">
        <f aca="false">EDATE(P56,Q56)</f>
        <v>45435</v>
      </c>
    </row>
    <row r="57" customFormat="false" ht="15" hidden="false" customHeight="false" outlineLevel="0" collapsed="false">
      <c r="A57" s="7" t="s">
        <v>320</v>
      </c>
      <c r="B57" s="7" t="s">
        <v>321</v>
      </c>
      <c r="C57" s="7" t="s">
        <v>322</v>
      </c>
      <c r="D57" s="7" t="s">
        <v>201</v>
      </c>
      <c r="E57" s="7" t="s">
        <v>94</v>
      </c>
      <c r="F57" s="7" t="s">
        <v>95</v>
      </c>
      <c r="G57" s="7" t="s">
        <v>137</v>
      </c>
      <c r="H57" s="7" t="s">
        <v>231</v>
      </c>
      <c r="I57" s="7" t="s">
        <v>232</v>
      </c>
      <c r="J57" s="8" t="n">
        <v>45293</v>
      </c>
      <c r="K57" s="8" t="n">
        <v>45374</v>
      </c>
      <c r="L57" s="9" t="n">
        <f aca="false">K57-J57</f>
        <v>81</v>
      </c>
      <c r="M57" s="10" t="n">
        <v>98377.57</v>
      </c>
      <c r="N57" s="7" t="s">
        <v>99</v>
      </c>
      <c r="O57" s="7" t="s">
        <v>118</v>
      </c>
      <c r="P57" s="7"/>
      <c r="Q57" s="7"/>
      <c r="R57" s="7"/>
    </row>
    <row r="58" customFormat="false" ht="15" hidden="false" customHeight="false" outlineLevel="0" collapsed="false">
      <c r="A58" s="7" t="s">
        <v>323</v>
      </c>
      <c r="B58" s="7" t="s">
        <v>324</v>
      </c>
      <c r="C58" s="7" t="s">
        <v>325</v>
      </c>
      <c r="D58" s="7" t="s">
        <v>195</v>
      </c>
      <c r="E58" s="7" t="s">
        <v>94</v>
      </c>
      <c r="F58" s="7" t="s">
        <v>183</v>
      </c>
      <c r="G58" s="7" t="s">
        <v>176</v>
      </c>
      <c r="H58" s="7" t="s">
        <v>152</v>
      </c>
      <c r="I58" s="7" t="s">
        <v>153</v>
      </c>
      <c r="J58" s="8" t="n">
        <v>45320</v>
      </c>
      <c r="K58" s="8" t="n">
        <v>45375</v>
      </c>
      <c r="L58" s="9" t="n">
        <f aca="false">K58-J58</f>
        <v>55</v>
      </c>
      <c r="M58" s="10" t="n">
        <v>88217.73</v>
      </c>
      <c r="N58" s="7" t="s">
        <v>131</v>
      </c>
      <c r="O58" s="7"/>
      <c r="P58" s="8" t="n">
        <v>45377</v>
      </c>
      <c r="Q58" s="7" t="n">
        <v>3</v>
      </c>
      <c r="R58" s="8" t="n">
        <f aca="false">EDATE(P58,Q58)</f>
        <v>45469</v>
      </c>
    </row>
    <row r="59" customFormat="false" ht="15" hidden="false" customHeight="false" outlineLevel="0" collapsed="false">
      <c r="A59" s="7" t="s">
        <v>326</v>
      </c>
      <c r="B59" s="7" t="s">
        <v>327</v>
      </c>
      <c r="C59" s="7" t="s">
        <v>328</v>
      </c>
      <c r="D59" s="7" t="s">
        <v>201</v>
      </c>
      <c r="E59" s="7" t="s">
        <v>94</v>
      </c>
      <c r="F59" s="7" t="s">
        <v>143</v>
      </c>
      <c r="G59" s="7" t="s">
        <v>107</v>
      </c>
      <c r="H59" s="7" t="s">
        <v>152</v>
      </c>
      <c r="I59" s="7" t="s">
        <v>153</v>
      </c>
      <c r="J59" s="8" t="n">
        <v>45285</v>
      </c>
      <c r="K59" s="8" t="n">
        <v>45388</v>
      </c>
      <c r="L59" s="9" t="n">
        <f aca="false">K59-J59</f>
        <v>103</v>
      </c>
      <c r="M59" s="10" t="n">
        <v>80488.69</v>
      </c>
      <c r="N59" s="7" t="s">
        <v>131</v>
      </c>
      <c r="O59" s="7"/>
      <c r="P59" s="8" t="n">
        <v>45392</v>
      </c>
      <c r="Q59" s="7" t="n">
        <v>7</v>
      </c>
      <c r="R59" s="8" t="n">
        <f aca="false">EDATE(P59,Q59)</f>
        <v>45606</v>
      </c>
    </row>
    <row r="60" customFormat="false" ht="15" hidden="false" customHeight="false" outlineLevel="0" collapsed="false">
      <c r="A60" s="7" t="s">
        <v>329</v>
      </c>
      <c r="B60" s="7" t="s">
        <v>330</v>
      </c>
      <c r="C60" s="7" t="s">
        <v>331</v>
      </c>
      <c r="D60" s="7" t="s">
        <v>242</v>
      </c>
      <c r="E60" s="7" t="s">
        <v>162</v>
      </c>
      <c r="F60" s="7" t="s">
        <v>183</v>
      </c>
      <c r="G60" s="7" t="s">
        <v>117</v>
      </c>
      <c r="H60" s="7" t="s">
        <v>145</v>
      </c>
      <c r="I60" s="7" t="s">
        <v>146</v>
      </c>
      <c r="J60" s="8" t="n">
        <v>45313</v>
      </c>
      <c r="K60" s="8" t="n">
        <v>45389</v>
      </c>
      <c r="L60" s="9" t="n">
        <f aca="false">K60-J60</f>
        <v>76</v>
      </c>
      <c r="M60" s="10" t="n">
        <v>146175.17</v>
      </c>
      <c r="N60" s="7" t="s">
        <v>99</v>
      </c>
      <c r="O60" s="7" t="s">
        <v>219</v>
      </c>
      <c r="P60" s="7"/>
      <c r="Q60" s="7"/>
      <c r="R60" s="7"/>
    </row>
    <row r="61" customFormat="false" ht="15" hidden="false" customHeight="false" outlineLevel="0" collapsed="false">
      <c r="A61" s="7" t="s">
        <v>332</v>
      </c>
      <c r="B61" s="7" t="s">
        <v>237</v>
      </c>
      <c r="C61" s="7" t="s">
        <v>238</v>
      </c>
      <c r="D61" s="7" t="s">
        <v>195</v>
      </c>
      <c r="E61" s="7" t="s">
        <v>94</v>
      </c>
      <c r="F61" s="7" t="s">
        <v>183</v>
      </c>
      <c r="G61" s="7" t="s">
        <v>117</v>
      </c>
      <c r="H61" s="7" t="s">
        <v>177</v>
      </c>
      <c r="I61" s="7" t="s">
        <v>178</v>
      </c>
      <c r="J61" s="8" t="n">
        <v>45347</v>
      </c>
      <c r="K61" s="8" t="n">
        <v>45391</v>
      </c>
      <c r="L61" s="9" t="n">
        <f aca="false">K61-J61</f>
        <v>44</v>
      </c>
      <c r="M61" s="10" t="n">
        <v>38755.03</v>
      </c>
      <c r="N61" s="7" t="s">
        <v>99</v>
      </c>
      <c r="O61" s="7" t="s">
        <v>118</v>
      </c>
      <c r="P61" s="7"/>
      <c r="Q61" s="7"/>
      <c r="R61" s="7"/>
    </row>
    <row r="62" customFormat="false" ht="15" hidden="false" customHeight="false" outlineLevel="0" collapsed="false">
      <c r="A62" s="7" t="s">
        <v>333</v>
      </c>
      <c r="B62" s="7" t="s">
        <v>334</v>
      </c>
      <c r="C62" s="7" t="s">
        <v>335</v>
      </c>
      <c r="D62" s="7" t="s">
        <v>242</v>
      </c>
      <c r="E62" s="7" t="s">
        <v>162</v>
      </c>
      <c r="F62" s="7" t="s">
        <v>136</v>
      </c>
      <c r="G62" s="7" t="s">
        <v>137</v>
      </c>
      <c r="H62" s="7" t="s">
        <v>180</v>
      </c>
      <c r="I62" s="7" t="s">
        <v>181</v>
      </c>
      <c r="J62" s="8" t="n">
        <v>45294</v>
      </c>
      <c r="K62" s="8" t="n">
        <v>45393</v>
      </c>
      <c r="L62" s="9" t="n">
        <f aca="false">K62-J62</f>
        <v>99</v>
      </c>
      <c r="M62" s="10" t="n">
        <v>282632.76</v>
      </c>
      <c r="N62" s="7" t="s">
        <v>99</v>
      </c>
      <c r="O62" s="7" t="s">
        <v>147</v>
      </c>
      <c r="P62" s="7"/>
      <c r="Q62" s="7"/>
      <c r="R62" s="7"/>
    </row>
    <row r="63" customFormat="false" ht="15" hidden="false" customHeight="false" outlineLevel="0" collapsed="false">
      <c r="A63" s="7" t="s">
        <v>336</v>
      </c>
      <c r="B63" s="7" t="s">
        <v>337</v>
      </c>
      <c r="C63" s="7" t="s">
        <v>338</v>
      </c>
      <c r="D63" s="7" t="s">
        <v>201</v>
      </c>
      <c r="E63" s="7" t="s">
        <v>94</v>
      </c>
      <c r="F63" s="7" t="s">
        <v>116</v>
      </c>
      <c r="G63" s="7" t="s">
        <v>96</v>
      </c>
      <c r="H63" s="7" t="s">
        <v>305</v>
      </c>
      <c r="I63" s="7" t="s">
        <v>306</v>
      </c>
      <c r="J63" s="8" t="n">
        <v>45328</v>
      </c>
      <c r="K63" s="8" t="n">
        <v>45396</v>
      </c>
      <c r="L63" s="9" t="n">
        <f aca="false">K63-J63</f>
        <v>68</v>
      </c>
      <c r="M63" s="10" t="n">
        <v>79973.24</v>
      </c>
      <c r="N63" s="7" t="s">
        <v>99</v>
      </c>
      <c r="O63" s="7" t="s">
        <v>147</v>
      </c>
      <c r="P63" s="7"/>
      <c r="Q63" s="7"/>
      <c r="R63" s="7"/>
    </row>
    <row r="64" customFormat="false" ht="15" hidden="false" customHeight="false" outlineLevel="0" collapsed="false">
      <c r="A64" s="7" t="s">
        <v>339</v>
      </c>
      <c r="B64" s="7" t="s">
        <v>340</v>
      </c>
      <c r="C64" s="7" t="s">
        <v>341</v>
      </c>
      <c r="D64" s="7" t="s">
        <v>151</v>
      </c>
      <c r="E64" s="7" t="s">
        <v>105</v>
      </c>
      <c r="F64" s="7" t="s">
        <v>116</v>
      </c>
      <c r="G64" s="7" t="s">
        <v>184</v>
      </c>
      <c r="H64" s="7" t="s">
        <v>270</v>
      </c>
      <c r="I64" s="7" t="s">
        <v>271</v>
      </c>
      <c r="J64" s="8" t="n">
        <v>45352</v>
      </c>
      <c r="K64" s="8" t="n">
        <v>45399</v>
      </c>
      <c r="L64" s="9" t="n">
        <f aca="false">K64-J64</f>
        <v>47</v>
      </c>
      <c r="M64" s="10" t="n">
        <v>71334.16</v>
      </c>
      <c r="N64" s="7" t="s">
        <v>131</v>
      </c>
      <c r="O64" s="7"/>
      <c r="P64" s="8" t="n">
        <v>45422</v>
      </c>
      <c r="Q64" s="7" t="n">
        <v>6</v>
      </c>
      <c r="R64" s="8" t="n">
        <f aca="false">EDATE(P64,Q64)</f>
        <v>45606</v>
      </c>
    </row>
    <row r="65" customFormat="false" ht="15" hidden="false" customHeight="false" outlineLevel="0" collapsed="false">
      <c r="A65" s="7" t="s">
        <v>342</v>
      </c>
      <c r="B65" s="7" t="s">
        <v>343</v>
      </c>
      <c r="C65" s="7" t="s">
        <v>344</v>
      </c>
      <c r="D65" s="7" t="s">
        <v>93</v>
      </c>
      <c r="E65" s="7" t="s">
        <v>94</v>
      </c>
      <c r="F65" s="7" t="s">
        <v>157</v>
      </c>
      <c r="G65" s="7" t="s">
        <v>96</v>
      </c>
      <c r="H65" s="7" t="s">
        <v>185</v>
      </c>
      <c r="I65" s="7" t="s">
        <v>186</v>
      </c>
      <c r="J65" s="8" t="n">
        <v>45351</v>
      </c>
      <c r="K65" s="8" t="n">
        <v>45399</v>
      </c>
      <c r="L65" s="9" t="n">
        <f aca="false">K65-J65</f>
        <v>48</v>
      </c>
      <c r="M65" s="10" t="n">
        <v>60253.12</v>
      </c>
      <c r="N65" s="7" t="s">
        <v>131</v>
      </c>
      <c r="O65" s="7"/>
      <c r="P65" s="8" t="n">
        <v>45402</v>
      </c>
      <c r="Q65" s="7" t="n">
        <v>4</v>
      </c>
      <c r="R65" s="8" t="n">
        <f aca="false">EDATE(P65,Q65)</f>
        <v>45524</v>
      </c>
    </row>
    <row r="66" customFormat="false" ht="15" hidden="false" customHeight="false" outlineLevel="0" collapsed="false">
      <c r="A66" s="7" t="s">
        <v>345</v>
      </c>
      <c r="B66" s="7" t="s">
        <v>273</v>
      </c>
      <c r="C66" s="7" t="s">
        <v>274</v>
      </c>
      <c r="D66" s="7" t="s">
        <v>195</v>
      </c>
      <c r="E66" s="7" t="s">
        <v>94</v>
      </c>
      <c r="F66" s="7" t="s">
        <v>116</v>
      </c>
      <c r="G66" s="7" t="s">
        <v>137</v>
      </c>
      <c r="H66" s="7" t="s">
        <v>145</v>
      </c>
      <c r="I66" s="7" t="s">
        <v>146</v>
      </c>
      <c r="J66" s="8" t="n">
        <v>45356</v>
      </c>
      <c r="K66" s="8" t="n">
        <v>45402</v>
      </c>
      <c r="L66" s="9" t="n">
        <f aca="false">K66-J66</f>
        <v>46</v>
      </c>
      <c r="M66" s="10" t="n">
        <v>139482.37</v>
      </c>
      <c r="N66" s="7" t="s">
        <v>131</v>
      </c>
      <c r="O66" s="7"/>
      <c r="P66" s="8" t="n">
        <v>45411</v>
      </c>
      <c r="Q66" s="7" t="n">
        <v>4</v>
      </c>
      <c r="R66" s="8" t="n">
        <f aca="false">EDATE(P66,Q66)</f>
        <v>45533</v>
      </c>
    </row>
    <row r="67" customFormat="false" ht="15" hidden="false" customHeight="false" outlineLevel="0" collapsed="false">
      <c r="A67" s="7" t="s">
        <v>346</v>
      </c>
      <c r="B67" s="7" t="s">
        <v>347</v>
      </c>
      <c r="C67" s="7" t="s">
        <v>348</v>
      </c>
      <c r="D67" s="7" t="s">
        <v>151</v>
      </c>
      <c r="E67" s="7" t="s">
        <v>94</v>
      </c>
      <c r="F67" s="7" t="s">
        <v>143</v>
      </c>
      <c r="G67" s="7" t="s">
        <v>96</v>
      </c>
      <c r="H67" s="7" t="s">
        <v>205</v>
      </c>
      <c r="I67" s="7" t="s">
        <v>206</v>
      </c>
      <c r="J67" s="8" t="n">
        <v>45341</v>
      </c>
      <c r="K67" s="8" t="n">
        <v>45402</v>
      </c>
      <c r="L67" s="9" t="n">
        <f aca="false">K67-J67</f>
        <v>61</v>
      </c>
      <c r="M67" s="10" t="n">
        <v>136268.03</v>
      </c>
      <c r="N67" s="7" t="s">
        <v>99</v>
      </c>
      <c r="O67" s="7" t="s">
        <v>219</v>
      </c>
      <c r="P67" s="7"/>
      <c r="Q67" s="7"/>
      <c r="R67" s="7"/>
    </row>
    <row r="68" customFormat="false" ht="15" hidden="false" customHeight="false" outlineLevel="0" collapsed="false">
      <c r="A68" s="7" t="s">
        <v>349</v>
      </c>
      <c r="B68" s="7" t="s">
        <v>350</v>
      </c>
      <c r="C68" s="7" t="s">
        <v>351</v>
      </c>
      <c r="D68" s="7" t="s">
        <v>242</v>
      </c>
      <c r="E68" s="7" t="s">
        <v>162</v>
      </c>
      <c r="F68" s="7" t="s">
        <v>95</v>
      </c>
      <c r="G68" s="7" t="s">
        <v>137</v>
      </c>
      <c r="H68" s="7" t="s">
        <v>278</v>
      </c>
      <c r="I68" s="7" t="s">
        <v>279</v>
      </c>
      <c r="J68" s="8" t="n">
        <v>45337</v>
      </c>
      <c r="K68" s="8" t="n">
        <v>45405</v>
      </c>
      <c r="L68" s="9" t="n">
        <f aca="false">K68-J68</f>
        <v>68</v>
      </c>
      <c r="M68" s="10" t="n">
        <v>83388.07</v>
      </c>
      <c r="N68" s="7" t="s">
        <v>99</v>
      </c>
      <c r="O68" s="7" t="s">
        <v>219</v>
      </c>
      <c r="P68" s="7"/>
      <c r="Q68" s="7"/>
      <c r="R68" s="7"/>
    </row>
    <row r="69" customFormat="false" ht="15" hidden="false" customHeight="false" outlineLevel="0" collapsed="false">
      <c r="A69" s="7" t="s">
        <v>352</v>
      </c>
      <c r="B69" s="7" t="s">
        <v>353</v>
      </c>
      <c r="C69" s="7" t="s">
        <v>354</v>
      </c>
      <c r="D69" s="7" t="s">
        <v>151</v>
      </c>
      <c r="E69" s="7" t="s">
        <v>105</v>
      </c>
      <c r="F69" s="7" t="s">
        <v>183</v>
      </c>
      <c r="G69" s="7" t="s">
        <v>144</v>
      </c>
      <c r="H69" s="7" t="s">
        <v>122</v>
      </c>
      <c r="I69" s="7" t="s">
        <v>123</v>
      </c>
      <c r="J69" s="8" t="n">
        <v>45325</v>
      </c>
      <c r="K69" s="8" t="n">
        <v>45407</v>
      </c>
      <c r="L69" s="9" t="n">
        <f aca="false">K69-J69</f>
        <v>82</v>
      </c>
      <c r="M69" s="10" t="n">
        <v>166456.85</v>
      </c>
      <c r="N69" s="7" t="s">
        <v>131</v>
      </c>
      <c r="O69" s="7"/>
      <c r="P69" s="8" t="n">
        <v>45415</v>
      </c>
      <c r="Q69" s="7" t="n">
        <v>2</v>
      </c>
      <c r="R69" s="8" t="n">
        <f aca="false">EDATE(P69,Q69)</f>
        <v>45476</v>
      </c>
    </row>
    <row r="70" customFormat="false" ht="15" hidden="false" customHeight="false" outlineLevel="0" collapsed="false">
      <c r="A70" s="7" t="s">
        <v>355</v>
      </c>
      <c r="B70" s="7" t="s">
        <v>356</v>
      </c>
      <c r="C70" s="7" t="s">
        <v>357</v>
      </c>
      <c r="D70" s="7" t="s">
        <v>114</v>
      </c>
      <c r="E70" s="7" t="s">
        <v>105</v>
      </c>
      <c r="F70" s="7" t="s">
        <v>143</v>
      </c>
      <c r="G70" s="7" t="s">
        <v>144</v>
      </c>
      <c r="H70" s="7" t="s">
        <v>270</v>
      </c>
      <c r="I70" s="7" t="s">
        <v>271</v>
      </c>
      <c r="J70" s="8" t="n">
        <v>45372</v>
      </c>
      <c r="K70" s="8" t="n">
        <v>45416</v>
      </c>
      <c r="L70" s="9" t="n">
        <f aca="false">K70-J70</f>
        <v>44</v>
      </c>
      <c r="M70" s="10" t="n">
        <v>60233.59</v>
      </c>
      <c r="N70" s="7" t="s">
        <v>131</v>
      </c>
      <c r="O70" s="7"/>
      <c r="P70" s="8" t="n">
        <v>45425</v>
      </c>
      <c r="Q70" s="7" t="n">
        <v>9</v>
      </c>
      <c r="R70" s="8" t="n">
        <f aca="false">EDATE(P70,Q70)</f>
        <v>45701</v>
      </c>
    </row>
    <row r="71" customFormat="false" ht="15" hidden="false" customHeight="false" outlineLevel="0" collapsed="false">
      <c r="A71" s="7" t="s">
        <v>358</v>
      </c>
      <c r="B71" s="7" t="s">
        <v>359</v>
      </c>
      <c r="C71" s="7" t="s">
        <v>360</v>
      </c>
      <c r="D71" s="7" t="s">
        <v>114</v>
      </c>
      <c r="E71" s="7" t="s">
        <v>94</v>
      </c>
      <c r="F71" s="7" t="s">
        <v>106</v>
      </c>
      <c r="G71" s="7" t="s">
        <v>144</v>
      </c>
      <c r="H71" s="7" t="s">
        <v>180</v>
      </c>
      <c r="I71" s="7" t="s">
        <v>181</v>
      </c>
      <c r="J71" s="8" t="n">
        <v>45320</v>
      </c>
      <c r="K71" s="8" t="n">
        <v>45418</v>
      </c>
      <c r="L71" s="9" t="n">
        <f aca="false">K71-J71</f>
        <v>98</v>
      </c>
      <c r="M71" s="10" t="n">
        <v>125907.93</v>
      </c>
      <c r="N71" s="7" t="s">
        <v>99</v>
      </c>
      <c r="O71" s="7" t="s">
        <v>118</v>
      </c>
      <c r="P71" s="7"/>
      <c r="Q71" s="7"/>
      <c r="R71" s="7"/>
    </row>
    <row r="72" customFormat="false" ht="15" hidden="false" customHeight="false" outlineLevel="0" collapsed="false">
      <c r="A72" s="7" t="s">
        <v>361</v>
      </c>
      <c r="B72" s="7" t="s">
        <v>362</v>
      </c>
      <c r="C72" s="7" t="s">
        <v>363</v>
      </c>
      <c r="D72" s="7" t="s">
        <v>195</v>
      </c>
      <c r="E72" s="7" t="s">
        <v>162</v>
      </c>
      <c r="F72" s="7" t="s">
        <v>136</v>
      </c>
      <c r="G72" s="7" t="s">
        <v>107</v>
      </c>
      <c r="H72" s="7" t="s">
        <v>185</v>
      </c>
      <c r="I72" s="7" t="s">
        <v>186</v>
      </c>
      <c r="J72" s="8" t="n">
        <v>45345</v>
      </c>
      <c r="K72" s="8" t="n">
        <v>45420</v>
      </c>
      <c r="L72" s="9" t="n">
        <f aca="false">K72-J72</f>
        <v>75</v>
      </c>
      <c r="M72" s="10" t="n">
        <v>92441.17</v>
      </c>
      <c r="N72" s="7" t="s">
        <v>99</v>
      </c>
      <c r="O72" s="7" t="s">
        <v>118</v>
      </c>
      <c r="P72" s="7"/>
      <c r="Q72" s="7"/>
      <c r="R72" s="7"/>
    </row>
    <row r="73" customFormat="false" ht="15" hidden="false" customHeight="false" outlineLevel="0" collapsed="false">
      <c r="A73" s="7" t="s">
        <v>364</v>
      </c>
      <c r="B73" s="7" t="s">
        <v>321</v>
      </c>
      <c r="C73" s="7" t="s">
        <v>322</v>
      </c>
      <c r="D73" s="7" t="s">
        <v>201</v>
      </c>
      <c r="E73" s="7" t="s">
        <v>94</v>
      </c>
      <c r="F73" s="7" t="s">
        <v>116</v>
      </c>
      <c r="G73" s="7" t="s">
        <v>184</v>
      </c>
      <c r="H73" s="7" t="s">
        <v>223</v>
      </c>
      <c r="I73" s="7" t="s">
        <v>224</v>
      </c>
      <c r="J73" s="8" t="n">
        <v>45347</v>
      </c>
      <c r="K73" s="8" t="n">
        <v>45423</v>
      </c>
      <c r="L73" s="9" t="n">
        <f aca="false">K73-J73</f>
        <v>76</v>
      </c>
      <c r="M73" s="10" t="n">
        <v>103332.07</v>
      </c>
      <c r="N73" s="7" t="s">
        <v>99</v>
      </c>
      <c r="O73" s="7" t="s">
        <v>100</v>
      </c>
      <c r="P73" s="7"/>
      <c r="Q73" s="7"/>
      <c r="R73" s="7"/>
    </row>
    <row r="74" customFormat="false" ht="15" hidden="false" customHeight="false" outlineLevel="0" collapsed="false">
      <c r="A74" s="7" t="s">
        <v>365</v>
      </c>
      <c r="B74" s="7" t="s">
        <v>366</v>
      </c>
      <c r="C74" s="7" t="s">
        <v>367</v>
      </c>
      <c r="D74" s="7" t="s">
        <v>114</v>
      </c>
      <c r="E74" s="7" t="s">
        <v>162</v>
      </c>
      <c r="F74" s="7" t="s">
        <v>95</v>
      </c>
      <c r="G74" s="7" t="s">
        <v>144</v>
      </c>
      <c r="H74" s="7" t="s">
        <v>152</v>
      </c>
      <c r="I74" s="7" t="s">
        <v>153</v>
      </c>
      <c r="J74" s="8" t="n">
        <v>45345</v>
      </c>
      <c r="K74" s="8" t="n">
        <v>45428</v>
      </c>
      <c r="L74" s="9" t="n">
        <f aca="false">K74-J74</f>
        <v>83</v>
      </c>
      <c r="M74" s="10" t="n">
        <v>70037.56</v>
      </c>
      <c r="N74" s="7" t="s">
        <v>99</v>
      </c>
      <c r="O74" s="7" t="s">
        <v>118</v>
      </c>
      <c r="P74" s="7"/>
      <c r="Q74" s="7"/>
      <c r="R74" s="7"/>
    </row>
    <row r="75" customFormat="false" ht="15" hidden="false" customHeight="false" outlineLevel="0" collapsed="false">
      <c r="A75" s="7" t="s">
        <v>368</v>
      </c>
      <c r="B75" s="7" t="s">
        <v>369</v>
      </c>
      <c r="C75" s="7" t="s">
        <v>370</v>
      </c>
      <c r="D75" s="7" t="s">
        <v>242</v>
      </c>
      <c r="E75" s="7" t="s">
        <v>115</v>
      </c>
      <c r="F75" s="7" t="s">
        <v>143</v>
      </c>
      <c r="G75" s="7" t="s">
        <v>107</v>
      </c>
      <c r="H75" s="7" t="s">
        <v>177</v>
      </c>
      <c r="I75" s="7" t="s">
        <v>178</v>
      </c>
      <c r="J75" s="8" t="n">
        <v>45342</v>
      </c>
      <c r="K75" s="8" t="n">
        <v>45430</v>
      </c>
      <c r="L75" s="9" t="n">
        <f aca="false">K75-J75</f>
        <v>88</v>
      </c>
      <c r="M75" s="10" t="n">
        <v>83242.01</v>
      </c>
      <c r="N75" s="7" t="s">
        <v>99</v>
      </c>
      <c r="O75" s="7" t="s">
        <v>100</v>
      </c>
      <c r="P75" s="7"/>
      <c r="Q75" s="7"/>
      <c r="R75" s="7"/>
    </row>
    <row r="76" customFormat="false" ht="15" hidden="false" customHeight="false" outlineLevel="0" collapsed="false">
      <c r="A76" s="7" t="s">
        <v>371</v>
      </c>
      <c r="B76" s="7" t="s">
        <v>372</v>
      </c>
      <c r="C76" s="7" t="s">
        <v>373</v>
      </c>
      <c r="D76" s="7" t="s">
        <v>242</v>
      </c>
      <c r="E76" s="7" t="s">
        <v>105</v>
      </c>
      <c r="F76" s="7" t="s">
        <v>116</v>
      </c>
      <c r="G76" s="7" t="s">
        <v>144</v>
      </c>
      <c r="H76" s="7" t="s">
        <v>281</v>
      </c>
      <c r="I76" s="7" t="s">
        <v>282</v>
      </c>
      <c r="J76" s="8" t="n">
        <v>45362</v>
      </c>
      <c r="K76" s="8" t="n">
        <v>45431</v>
      </c>
      <c r="L76" s="9" t="n">
        <f aca="false">K76-J76</f>
        <v>69</v>
      </c>
      <c r="M76" s="10" t="n">
        <v>118361</v>
      </c>
      <c r="N76" s="7" t="s">
        <v>99</v>
      </c>
      <c r="O76" s="7" t="s">
        <v>100</v>
      </c>
      <c r="P76" s="7"/>
      <c r="Q76" s="7"/>
      <c r="R76" s="7"/>
    </row>
    <row r="77" customFormat="false" ht="15" hidden="false" customHeight="false" outlineLevel="0" collapsed="false">
      <c r="A77" s="7" t="s">
        <v>374</v>
      </c>
      <c r="B77" s="7" t="s">
        <v>375</v>
      </c>
      <c r="C77" s="7" t="s">
        <v>376</v>
      </c>
      <c r="D77" s="7" t="s">
        <v>201</v>
      </c>
      <c r="E77" s="7" t="s">
        <v>115</v>
      </c>
      <c r="F77" s="7" t="s">
        <v>95</v>
      </c>
      <c r="G77" s="7" t="s">
        <v>107</v>
      </c>
      <c r="H77" s="7" t="s">
        <v>190</v>
      </c>
      <c r="I77" s="7" t="s">
        <v>191</v>
      </c>
      <c r="J77" s="8" t="n">
        <v>45370</v>
      </c>
      <c r="K77" s="8" t="n">
        <v>45431</v>
      </c>
      <c r="L77" s="9" t="n">
        <f aca="false">K77-J77</f>
        <v>61</v>
      </c>
      <c r="M77" s="10" t="n">
        <v>58830.83</v>
      </c>
      <c r="N77" s="7" t="s">
        <v>99</v>
      </c>
      <c r="O77" s="7" t="s">
        <v>124</v>
      </c>
      <c r="P77" s="7"/>
      <c r="Q77" s="7"/>
      <c r="R77" s="7"/>
    </row>
    <row r="78" customFormat="false" ht="15" hidden="false" customHeight="false" outlineLevel="0" collapsed="false">
      <c r="A78" s="7" t="s">
        <v>377</v>
      </c>
      <c r="B78" s="7" t="s">
        <v>378</v>
      </c>
      <c r="C78" s="7" t="s">
        <v>379</v>
      </c>
      <c r="D78" s="7" t="s">
        <v>93</v>
      </c>
      <c r="E78" s="7" t="s">
        <v>94</v>
      </c>
      <c r="F78" s="7" t="s">
        <v>95</v>
      </c>
      <c r="G78" s="7" t="s">
        <v>184</v>
      </c>
      <c r="H78" s="7" t="s">
        <v>190</v>
      </c>
      <c r="I78" s="7" t="s">
        <v>191</v>
      </c>
      <c r="J78" s="8" t="n">
        <v>45346</v>
      </c>
      <c r="K78" s="8" t="n">
        <v>45431</v>
      </c>
      <c r="L78" s="9" t="n">
        <f aca="false">K78-J78</f>
        <v>85</v>
      </c>
      <c r="M78" s="10" t="n">
        <v>86762.99</v>
      </c>
      <c r="N78" s="7" t="s">
        <v>99</v>
      </c>
      <c r="O78" s="7" t="s">
        <v>110</v>
      </c>
      <c r="P78" s="7"/>
      <c r="Q78" s="7"/>
      <c r="R78" s="7"/>
    </row>
    <row r="79" customFormat="false" ht="15" hidden="false" customHeight="false" outlineLevel="0" collapsed="false">
      <c r="A79" s="7" t="s">
        <v>380</v>
      </c>
      <c r="B79" s="7" t="s">
        <v>334</v>
      </c>
      <c r="C79" s="7" t="s">
        <v>335</v>
      </c>
      <c r="D79" s="7" t="s">
        <v>242</v>
      </c>
      <c r="E79" s="7" t="s">
        <v>162</v>
      </c>
      <c r="F79" s="7" t="s">
        <v>95</v>
      </c>
      <c r="G79" s="7" t="s">
        <v>176</v>
      </c>
      <c r="H79" s="7" t="s">
        <v>177</v>
      </c>
      <c r="I79" s="7" t="s">
        <v>178</v>
      </c>
      <c r="J79" s="8" t="n">
        <v>45330</v>
      </c>
      <c r="K79" s="8" t="n">
        <v>45432</v>
      </c>
      <c r="L79" s="9" t="n">
        <f aca="false">K79-J79</f>
        <v>102</v>
      </c>
      <c r="M79" s="10" t="n">
        <v>54666.17</v>
      </c>
      <c r="N79" s="7" t="s">
        <v>131</v>
      </c>
      <c r="O79" s="7"/>
      <c r="P79" s="8" t="n">
        <v>45455</v>
      </c>
      <c r="Q79" s="7" t="n">
        <v>1</v>
      </c>
      <c r="R79" s="8" t="n">
        <f aca="false">EDATE(P79,Q79)</f>
        <v>45485</v>
      </c>
    </row>
    <row r="80" customFormat="false" ht="15" hidden="false" customHeight="false" outlineLevel="0" collapsed="false">
      <c r="A80" s="7" t="s">
        <v>381</v>
      </c>
      <c r="B80" s="7" t="s">
        <v>337</v>
      </c>
      <c r="C80" s="7" t="s">
        <v>338</v>
      </c>
      <c r="D80" s="7" t="s">
        <v>201</v>
      </c>
      <c r="E80" s="7" t="s">
        <v>94</v>
      </c>
      <c r="F80" s="7" t="s">
        <v>106</v>
      </c>
      <c r="G80" s="7" t="s">
        <v>176</v>
      </c>
      <c r="H80" s="7" t="s">
        <v>281</v>
      </c>
      <c r="I80" s="7" t="s">
        <v>282</v>
      </c>
      <c r="J80" s="8" t="n">
        <v>45376</v>
      </c>
      <c r="K80" s="8" t="n">
        <v>45432</v>
      </c>
      <c r="L80" s="9" t="n">
        <f aca="false">K80-J80</f>
        <v>56</v>
      </c>
      <c r="M80" s="10" t="n">
        <v>91626.01</v>
      </c>
      <c r="N80" s="7" t="s">
        <v>99</v>
      </c>
      <c r="O80" s="7" t="s">
        <v>147</v>
      </c>
      <c r="P80" s="7"/>
      <c r="Q80" s="7"/>
      <c r="R80" s="7"/>
    </row>
    <row r="81" customFormat="false" ht="15" hidden="false" customHeight="false" outlineLevel="0" collapsed="false">
      <c r="A81" s="7" t="s">
        <v>382</v>
      </c>
      <c r="B81" s="7" t="s">
        <v>383</v>
      </c>
      <c r="C81" s="7" t="s">
        <v>384</v>
      </c>
      <c r="D81" s="7" t="s">
        <v>242</v>
      </c>
      <c r="E81" s="7" t="s">
        <v>115</v>
      </c>
      <c r="F81" s="7" t="s">
        <v>95</v>
      </c>
      <c r="G81" s="7" t="s">
        <v>117</v>
      </c>
      <c r="H81" s="7" t="s">
        <v>270</v>
      </c>
      <c r="I81" s="7" t="s">
        <v>271</v>
      </c>
      <c r="J81" s="8" t="n">
        <v>45392</v>
      </c>
      <c r="K81" s="8" t="n">
        <v>45434</v>
      </c>
      <c r="L81" s="9" t="n">
        <f aca="false">K81-J81</f>
        <v>42</v>
      </c>
      <c r="M81" s="10" t="n">
        <v>26015.9</v>
      </c>
      <c r="N81" s="7" t="s">
        <v>131</v>
      </c>
      <c r="O81" s="7"/>
      <c r="P81" s="8" t="n">
        <v>45452</v>
      </c>
      <c r="Q81" s="7" t="n">
        <v>4</v>
      </c>
      <c r="R81" s="8" t="n">
        <f aca="false">EDATE(P81,Q81)</f>
        <v>45574</v>
      </c>
    </row>
    <row r="82" customFormat="false" ht="15" hidden="false" customHeight="false" outlineLevel="0" collapsed="false">
      <c r="A82" s="7" t="s">
        <v>385</v>
      </c>
      <c r="B82" s="7" t="s">
        <v>359</v>
      </c>
      <c r="C82" s="7" t="s">
        <v>360</v>
      </c>
      <c r="D82" s="7" t="s">
        <v>114</v>
      </c>
      <c r="E82" s="7" t="s">
        <v>94</v>
      </c>
      <c r="F82" s="7" t="s">
        <v>95</v>
      </c>
      <c r="G82" s="7" t="s">
        <v>107</v>
      </c>
      <c r="H82" s="7" t="s">
        <v>190</v>
      </c>
      <c r="I82" s="7" t="s">
        <v>191</v>
      </c>
      <c r="J82" s="8" t="n">
        <v>45349</v>
      </c>
      <c r="K82" s="8" t="n">
        <v>45435</v>
      </c>
      <c r="L82" s="9" t="n">
        <f aca="false">K82-J82</f>
        <v>86</v>
      </c>
      <c r="M82" s="10" t="n">
        <v>73317.26</v>
      </c>
      <c r="N82" s="7" t="s">
        <v>131</v>
      </c>
      <c r="O82" s="7"/>
      <c r="P82" s="8" t="n">
        <v>45444</v>
      </c>
      <c r="Q82" s="7" t="n">
        <v>4</v>
      </c>
      <c r="R82" s="8" t="n">
        <f aca="false">EDATE(P82,Q82)</f>
        <v>45566</v>
      </c>
    </row>
    <row r="83" customFormat="false" ht="15" hidden="false" customHeight="false" outlineLevel="0" collapsed="false">
      <c r="A83" s="7" t="s">
        <v>386</v>
      </c>
      <c r="B83" s="7" t="s">
        <v>199</v>
      </c>
      <c r="C83" s="7" t="s">
        <v>200</v>
      </c>
      <c r="D83" s="7" t="s">
        <v>201</v>
      </c>
      <c r="E83" s="7" t="s">
        <v>94</v>
      </c>
      <c r="F83" s="7" t="s">
        <v>143</v>
      </c>
      <c r="G83" s="7" t="s">
        <v>144</v>
      </c>
      <c r="H83" s="7" t="s">
        <v>281</v>
      </c>
      <c r="I83" s="7" t="s">
        <v>282</v>
      </c>
      <c r="J83" s="8" t="n">
        <v>45379</v>
      </c>
      <c r="K83" s="8" t="n">
        <v>45440</v>
      </c>
      <c r="L83" s="9" t="n">
        <f aca="false">K83-J83</f>
        <v>61</v>
      </c>
      <c r="M83" s="10" t="n">
        <v>91946.24</v>
      </c>
      <c r="N83" s="7" t="s">
        <v>99</v>
      </c>
      <c r="O83" s="7" t="s">
        <v>100</v>
      </c>
      <c r="P83" s="7"/>
      <c r="Q83" s="7"/>
      <c r="R83" s="7"/>
    </row>
    <row r="84" customFormat="false" ht="15" hidden="false" customHeight="false" outlineLevel="0" collapsed="false">
      <c r="A84" s="7" t="s">
        <v>387</v>
      </c>
      <c r="B84" s="7" t="s">
        <v>388</v>
      </c>
      <c r="C84" s="7" t="s">
        <v>389</v>
      </c>
      <c r="D84" s="7" t="s">
        <v>201</v>
      </c>
      <c r="E84" s="7" t="s">
        <v>94</v>
      </c>
      <c r="F84" s="7" t="s">
        <v>136</v>
      </c>
      <c r="G84" s="7" t="s">
        <v>144</v>
      </c>
      <c r="H84" s="7" t="s">
        <v>258</v>
      </c>
      <c r="I84" s="7" t="s">
        <v>259</v>
      </c>
      <c r="J84" s="8" t="n">
        <v>45364</v>
      </c>
      <c r="K84" s="8" t="n">
        <v>45441</v>
      </c>
      <c r="L84" s="9" t="n">
        <f aca="false">K84-J84</f>
        <v>77</v>
      </c>
      <c r="M84" s="10" t="n">
        <v>87374.89</v>
      </c>
      <c r="N84" s="7" t="s">
        <v>99</v>
      </c>
      <c r="O84" s="7" t="s">
        <v>124</v>
      </c>
      <c r="P84" s="7"/>
      <c r="Q84" s="7"/>
      <c r="R84" s="7"/>
    </row>
    <row r="85" customFormat="false" ht="15" hidden="false" customHeight="false" outlineLevel="0" collapsed="false">
      <c r="A85" s="7" t="s">
        <v>390</v>
      </c>
      <c r="B85" s="7" t="s">
        <v>391</v>
      </c>
      <c r="C85" s="7" t="s">
        <v>392</v>
      </c>
      <c r="D85" s="7" t="s">
        <v>104</v>
      </c>
      <c r="E85" s="7" t="s">
        <v>115</v>
      </c>
      <c r="F85" s="7" t="s">
        <v>128</v>
      </c>
      <c r="G85" s="7" t="s">
        <v>176</v>
      </c>
      <c r="H85" s="7" t="s">
        <v>213</v>
      </c>
      <c r="I85" s="7" t="s">
        <v>214</v>
      </c>
      <c r="J85" s="8" t="n">
        <v>45383</v>
      </c>
      <c r="K85" s="8" t="n">
        <v>45445</v>
      </c>
      <c r="L85" s="9" t="n">
        <f aca="false">K85-J85</f>
        <v>62</v>
      </c>
      <c r="M85" s="10" t="n">
        <v>54965.88</v>
      </c>
      <c r="N85" s="7" t="s">
        <v>99</v>
      </c>
      <c r="O85" s="7" t="s">
        <v>147</v>
      </c>
      <c r="P85" s="7"/>
      <c r="Q85" s="7"/>
      <c r="R85" s="7"/>
    </row>
    <row r="86" customFormat="false" ht="15" hidden="false" customHeight="false" outlineLevel="0" collapsed="false">
      <c r="A86" s="7" t="s">
        <v>393</v>
      </c>
      <c r="B86" s="7" t="s">
        <v>294</v>
      </c>
      <c r="C86" s="7" t="s">
        <v>295</v>
      </c>
      <c r="D86" s="7" t="s">
        <v>93</v>
      </c>
      <c r="E86" s="7" t="s">
        <v>94</v>
      </c>
      <c r="F86" s="7" t="s">
        <v>136</v>
      </c>
      <c r="G86" s="7" t="s">
        <v>137</v>
      </c>
      <c r="H86" s="7" t="s">
        <v>177</v>
      </c>
      <c r="I86" s="7" t="s">
        <v>178</v>
      </c>
      <c r="J86" s="8" t="n">
        <v>45386</v>
      </c>
      <c r="K86" s="8" t="n">
        <v>45447</v>
      </c>
      <c r="L86" s="9" t="n">
        <f aca="false">K86-J86</f>
        <v>61</v>
      </c>
      <c r="M86" s="10" t="n">
        <v>218947.65</v>
      </c>
      <c r="N86" s="7" t="s">
        <v>99</v>
      </c>
      <c r="O86" s="7" t="s">
        <v>219</v>
      </c>
      <c r="P86" s="7"/>
      <c r="Q86" s="7"/>
      <c r="R86" s="7"/>
    </row>
    <row r="87" customFormat="false" ht="15" hidden="false" customHeight="false" outlineLevel="0" collapsed="false">
      <c r="A87" s="7" t="s">
        <v>394</v>
      </c>
      <c r="B87" s="7" t="s">
        <v>395</v>
      </c>
      <c r="C87" s="7" t="s">
        <v>396</v>
      </c>
      <c r="D87" s="7" t="s">
        <v>195</v>
      </c>
      <c r="E87" s="7" t="s">
        <v>162</v>
      </c>
      <c r="F87" s="7" t="s">
        <v>157</v>
      </c>
      <c r="G87" s="7" t="s">
        <v>176</v>
      </c>
      <c r="H87" s="7" t="s">
        <v>278</v>
      </c>
      <c r="I87" s="7" t="s">
        <v>279</v>
      </c>
      <c r="J87" s="8" t="n">
        <v>45371</v>
      </c>
      <c r="K87" s="8" t="n">
        <v>45452</v>
      </c>
      <c r="L87" s="9" t="n">
        <f aca="false">K87-J87</f>
        <v>81</v>
      </c>
      <c r="M87" s="10" t="n">
        <v>105532.52</v>
      </c>
      <c r="N87" s="7" t="s">
        <v>99</v>
      </c>
      <c r="O87" s="7" t="s">
        <v>118</v>
      </c>
      <c r="P87" s="7"/>
      <c r="Q87" s="7"/>
      <c r="R87" s="7"/>
    </row>
    <row r="88" customFormat="false" ht="15" hidden="false" customHeight="false" outlineLevel="0" collapsed="false">
      <c r="A88" s="7" t="s">
        <v>397</v>
      </c>
      <c r="B88" s="7" t="s">
        <v>359</v>
      </c>
      <c r="C88" s="7" t="s">
        <v>360</v>
      </c>
      <c r="D88" s="7" t="s">
        <v>114</v>
      </c>
      <c r="E88" s="7" t="s">
        <v>94</v>
      </c>
      <c r="F88" s="7" t="s">
        <v>106</v>
      </c>
      <c r="G88" s="7" t="s">
        <v>144</v>
      </c>
      <c r="H88" s="7" t="s">
        <v>190</v>
      </c>
      <c r="I88" s="7" t="s">
        <v>191</v>
      </c>
      <c r="J88" s="8" t="n">
        <v>45404</v>
      </c>
      <c r="K88" s="8" t="n">
        <v>45452</v>
      </c>
      <c r="L88" s="9" t="n">
        <f aca="false">K88-J88</f>
        <v>48</v>
      </c>
      <c r="M88" s="10" t="n">
        <v>72563.55</v>
      </c>
      <c r="N88" s="7" t="s">
        <v>99</v>
      </c>
      <c r="O88" s="7" t="s">
        <v>110</v>
      </c>
      <c r="P88" s="7"/>
      <c r="Q88" s="7"/>
      <c r="R88" s="7"/>
    </row>
    <row r="89" customFormat="false" ht="15" hidden="false" customHeight="false" outlineLevel="0" collapsed="false">
      <c r="A89" s="7" t="s">
        <v>398</v>
      </c>
      <c r="B89" s="7" t="s">
        <v>284</v>
      </c>
      <c r="C89" s="7" t="s">
        <v>285</v>
      </c>
      <c r="D89" s="7" t="s">
        <v>201</v>
      </c>
      <c r="E89" s="7" t="s">
        <v>105</v>
      </c>
      <c r="F89" s="7" t="s">
        <v>95</v>
      </c>
      <c r="G89" s="7" t="s">
        <v>117</v>
      </c>
      <c r="H89" s="7" t="s">
        <v>177</v>
      </c>
      <c r="I89" s="7" t="s">
        <v>178</v>
      </c>
      <c r="J89" s="8" t="n">
        <v>45297</v>
      </c>
      <c r="K89" s="8" t="n">
        <v>45453</v>
      </c>
      <c r="L89" s="9" t="n">
        <f aca="false">K89-J89</f>
        <v>156</v>
      </c>
      <c r="M89" s="10" t="n">
        <v>451429.08</v>
      </c>
      <c r="N89" s="7" t="s">
        <v>99</v>
      </c>
      <c r="O89" s="7" t="s">
        <v>118</v>
      </c>
      <c r="P89" s="7"/>
      <c r="Q89" s="7"/>
      <c r="R89" s="7"/>
    </row>
    <row r="90" customFormat="false" ht="15" hidden="false" customHeight="false" outlineLevel="0" collapsed="false">
      <c r="A90" s="7" t="s">
        <v>399</v>
      </c>
      <c r="B90" s="7" t="s">
        <v>400</v>
      </c>
      <c r="C90" s="7" t="s">
        <v>401</v>
      </c>
      <c r="D90" s="7" t="s">
        <v>135</v>
      </c>
      <c r="E90" s="7" t="s">
        <v>162</v>
      </c>
      <c r="F90" s="7" t="s">
        <v>143</v>
      </c>
      <c r="G90" s="7" t="s">
        <v>144</v>
      </c>
      <c r="H90" s="7" t="s">
        <v>402</v>
      </c>
      <c r="I90" s="7" t="s">
        <v>403</v>
      </c>
      <c r="J90" s="8" t="n">
        <v>45400</v>
      </c>
      <c r="K90" s="8" t="n">
        <v>45453</v>
      </c>
      <c r="L90" s="9" t="n">
        <f aca="false">K90-J90</f>
        <v>53</v>
      </c>
      <c r="M90" s="10" t="n">
        <v>68927.05</v>
      </c>
      <c r="N90" s="7" t="s">
        <v>99</v>
      </c>
      <c r="O90" s="7" t="s">
        <v>219</v>
      </c>
      <c r="P90" s="7"/>
      <c r="Q90" s="7"/>
      <c r="R90" s="7"/>
    </row>
    <row r="91" customFormat="false" ht="15" hidden="false" customHeight="false" outlineLevel="0" collapsed="false">
      <c r="A91" s="7" t="s">
        <v>404</v>
      </c>
      <c r="B91" s="7" t="s">
        <v>91</v>
      </c>
      <c r="C91" s="7" t="s">
        <v>92</v>
      </c>
      <c r="D91" s="7" t="s">
        <v>93</v>
      </c>
      <c r="E91" s="7" t="s">
        <v>94</v>
      </c>
      <c r="F91" s="7" t="s">
        <v>116</v>
      </c>
      <c r="G91" s="7" t="s">
        <v>96</v>
      </c>
      <c r="H91" s="7" t="s">
        <v>223</v>
      </c>
      <c r="I91" s="7" t="s">
        <v>224</v>
      </c>
      <c r="J91" s="8" t="n">
        <v>45356</v>
      </c>
      <c r="K91" s="8" t="n">
        <v>45453</v>
      </c>
      <c r="L91" s="9" t="n">
        <f aca="false">K91-J91</f>
        <v>97</v>
      </c>
      <c r="M91" s="10" t="n">
        <v>162751.17</v>
      </c>
      <c r="N91" s="7" t="s">
        <v>99</v>
      </c>
      <c r="O91" s="7" t="s">
        <v>118</v>
      </c>
      <c r="P91" s="7"/>
      <c r="Q91" s="7"/>
      <c r="R91" s="7"/>
    </row>
    <row r="92" customFormat="false" ht="15" hidden="false" customHeight="false" outlineLevel="0" collapsed="false">
      <c r="A92" s="7" t="s">
        <v>405</v>
      </c>
      <c r="B92" s="7" t="s">
        <v>250</v>
      </c>
      <c r="C92" s="7" t="s">
        <v>251</v>
      </c>
      <c r="D92" s="7" t="s">
        <v>195</v>
      </c>
      <c r="E92" s="7" t="s">
        <v>105</v>
      </c>
      <c r="F92" s="7" t="s">
        <v>128</v>
      </c>
      <c r="G92" s="7" t="s">
        <v>96</v>
      </c>
      <c r="H92" s="7" t="s">
        <v>152</v>
      </c>
      <c r="I92" s="7" t="s">
        <v>153</v>
      </c>
      <c r="J92" s="8" t="n">
        <v>45386</v>
      </c>
      <c r="K92" s="8" t="n">
        <v>45456</v>
      </c>
      <c r="L92" s="9" t="n">
        <f aca="false">K92-J92</f>
        <v>70</v>
      </c>
      <c r="M92" s="10" t="n">
        <v>94343.09</v>
      </c>
      <c r="N92" s="7" t="s">
        <v>131</v>
      </c>
      <c r="O92" s="7"/>
      <c r="P92" s="8" t="n">
        <v>45477</v>
      </c>
      <c r="Q92" s="7" t="n">
        <v>2</v>
      </c>
      <c r="R92" s="8" t="n">
        <f aca="false">EDATE(P92,Q92)</f>
        <v>45539</v>
      </c>
    </row>
    <row r="93" customFormat="false" ht="15" hidden="false" customHeight="false" outlineLevel="0" collapsed="false">
      <c r="A93" s="7" t="s">
        <v>406</v>
      </c>
      <c r="B93" s="7" t="s">
        <v>126</v>
      </c>
      <c r="C93" s="7" t="s">
        <v>127</v>
      </c>
      <c r="D93" s="7" t="s">
        <v>104</v>
      </c>
      <c r="E93" s="7" t="s">
        <v>105</v>
      </c>
      <c r="F93" s="7" t="s">
        <v>183</v>
      </c>
      <c r="G93" s="7" t="s">
        <v>107</v>
      </c>
      <c r="H93" s="7" t="s">
        <v>281</v>
      </c>
      <c r="I93" s="7" t="s">
        <v>282</v>
      </c>
      <c r="J93" s="8" t="n">
        <v>45380</v>
      </c>
      <c r="K93" s="8" t="n">
        <v>45457</v>
      </c>
      <c r="L93" s="9" t="n">
        <f aca="false">K93-J93</f>
        <v>77</v>
      </c>
      <c r="M93" s="10" t="n">
        <v>101645.62</v>
      </c>
      <c r="N93" s="7" t="s">
        <v>99</v>
      </c>
      <c r="O93" s="7" t="s">
        <v>100</v>
      </c>
      <c r="P93" s="7"/>
      <c r="Q93" s="7"/>
      <c r="R93" s="7"/>
    </row>
    <row r="94" customFormat="false" ht="15" hidden="false" customHeight="false" outlineLevel="0" collapsed="false">
      <c r="A94" s="7" t="s">
        <v>407</v>
      </c>
      <c r="B94" s="7" t="s">
        <v>169</v>
      </c>
      <c r="C94" s="7" t="s">
        <v>170</v>
      </c>
      <c r="D94" s="7" t="s">
        <v>104</v>
      </c>
      <c r="E94" s="7" t="s">
        <v>94</v>
      </c>
      <c r="F94" s="7" t="s">
        <v>136</v>
      </c>
      <c r="G94" s="7" t="s">
        <v>107</v>
      </c>
      <c r="H94" s="7" t="s">
        <v>152</v>
      </c>
      <c r="I94" s="7" t="s">
        <v>153</v>
      </c>
      <c r="J94" s="8" t="n">
        <v>45375</v>
      </c>
      <c r="K94" s="8" t="n">
        <v>45458</v>
      </c>
      <c r="L94" s="9" t="n">
        <f aca="false">K94-J94</f>
        <v>83</v>
      </c>
      <c r="M94" s="10" t="n">
        <v>198522.27</v>
      </c>
      <c r="N94" s="7" t="s">
        <v>99</v>
      </c>
      <c r="O94" s="7" t="s">
        <v>219</v>
      </c>
      <c r="P94" s="7"/>
      <c r="Q94" s="7"/>
      <c r="R94" s="7"/>
    </row>
    <row r="95" customFormat="false" ht="15" hidden="false" customHeight="false" outlineLevel="0" collapsed="false">
      <c r="A95" s="7" t="s">
        <v>408</v>
      </c>
      <c r="B95" s="7" t="s">
        <v>409</v>
      </c>
      <c r="C95" s="7" t="s">
        <v>410</v>
      </c>
      <c r="D95" s="7" t="s">
        <v>114</v>
      </c>
      <c r="E95" s="7" t="s">
        <v>94</v>
      </c>
      <c r="F95" s="7" t="s">
        <v>95</v>
      </c>
      <c r="G95" s="7" t="s">
        <v>107</v>
      </c>
      <c r="H95" s="7" t="s">
        <v>402</v>
      </c>
      <c r="I95" s="7" t="s">
        <v>403</v>
      </c>
      <c r="J95" s="8" t="n">
        <v>45434</v>
      </c>
      <c r="K95" s="8" t="n">
        <v>45464</v>
      </c>
      <c r="L95" s="9" t="n">
        <f aca="false">K95-J95</f>
        <v>30</v>
      </c>
      <c r="M95" s="10" t="n">
        <v>51701.04</v>
      </c>
      <c r="N95" s="7" t="s">
        <v>99</v>
      </c>
      <c r="O95" s="7" t="s">
        <v>118</v>
      </c>
      <c r="P95" s="7"/>
      <c r="Q95" s="7"/>
      <c r="R95" s="7"/>
    </row>
    <row r="96" customFormat="false" ht="15" hidden="false" customHeight="false" outlineLevel="0" collapsed="false">
      <c r="A96" s="7" t="s">
        <v>411</v>
      </c>
      <c r="B96" s="7" t="s">
        <v>412</v>
      </c>
      <c r="C96" s="7" t="s">
        <v>413</v>
      </c>
      <c r="D96" s="7" t="s">
        <v>151</v>
      </c>
      <c r="E96" s="7" t="s">
        <v>115</v>
      </c>
      <c r="F96" s="7" t="s">
        <v>106</v>
      </c>
      <c r="G96" s="7" t="s">
        <v>184</v>
      </c>
      <c r="H96" s="7" t="s">
        <v>166</v>
      </c>
      <c r="I96" s="7" t="s">
        <v>167</v>
      </c>
      <c r="J96" s="8" t="n">
        <v>45340</v>
      </c>
      <c r="K96" s="8" t="n">
        <v>45464</v>
      </c>
      <c r="L96" s="9" t="n">
        <f aca="false">K96-J96</f>
        <v>124</v>
      </c>
      <c r="M96" s="10" t="n">
        <v>311808.81</v>
      </c>
      <c r="N96" s="7" t="s">
        <v>99</v>
      </c>
      <c r="O96" s="7" t="s">
        <v>110</v>
      </c>
      <c r="P96" s="7"/>
      <c r="Q96" s="7"/>
      <c r="R96" s="7"/>
    </row>
    <row r="97" customFormat="false" ht="15" hidden="false" customHeight="false" outlineLevel="0" collapsed="false">
      <c r="A97" s="7" t="s">
        <v>414</v>
      </c>
      <c r="B97" s="7" t="s">
        <v>234</v>
      </c>
      <c r="C97" s="7" t="s">
        <v>235</v>
      </c>
      <c r="D97" s="7" t="s">
        <v>114</v>
      </c>
      <c r="E97" s="7" t="s">
        <v>115</v>
      </c>
      <c r="F97" s="7" t="s">
        <v>95</v>
      </c>
      <c r="G97" s="7" t="s">
        <v>117</v>
      </c>
      <c r="H97" s="7" t="s">
        <v>190</v>
      </c>
      <c r="I97" s="7" t="s">
        <v>191</v>
      </c>
      <c r="J97" s="8" t="n">
        <v>45413</v>
      </c>
      <c r="K97" s="8" t="n">
        <v>45466</v>
      </c>
      <c r="L97" s="9" t="n">
        <f aca="false">K97-J97</f>
        <v>53</v>
      </c>
      <c r="M97" s="10" t="n">
        <v>79783.13</v>
      </c>
      <c r="N97" s="7" t="s">
        <v>99</v>
      </c>
      <c r="O97" s="7" t="s">
        <v>110</v>
      </c>
      <c r="P97" s="7"/>
      <c r="Q97" s="7"/>
      <c r="R97" s="7"/>
    </row>
    <row r="98" customFormat="false" ht="15" hidden="false" customHeight="false" outlineLevel="0" collapsed="false">
      <c r="A98" s="7" t="s">
        <v>415</v>
      </c>
      <c r="B98" s="7" t="s">
        <v>337</v>
      </c>
      <c r="C98" s="7" t="s">
        <v>338</v>
      </c>
      <c r="D98" s="7" t="s">
        <v>201</v>
      </c>
      <c r="E98" s="7" t="s">
        <v>94</v>
      </c>
      <c r="F98" s="7" t="s">
        <v>157</v>
      </c>
      <c r="G98" s="7" t="s">
        <v>117</v>
      </c>
      <c r="H98" s="7" t="s">
        <v>180</v>
      </c>
      <c r="I98" s="7" t="s">
        <v>181</v>
      </c>
      <c r="J98" s="8" t="n">
        <v>45381</v>
      </c>
      <c r="K98" s="8" t="n">
        <v>45468</v>
      </c>
      <c r="L98" s="9" t="n">
        <f aca="false">K98-J98</f>
        <v>87</v>
      </c>
      <c r="M98" s="10" t="n">
        <v>120284.56</v>
      </c>
      <c r="N98" s="7" t="s">
        <v>99</v>
      </c>
      <c r="O98" s="7" t="s">
        <v>219</v>
      </c>
      <c r="P98" s="7"/>
      <c r="Q98" s="7"/>
      <c r="R98" s="7"/>
    </row>
    <row r="99" customFormat="false" ht="15" hidden="false" customHeight="false" outlineLevel="0" collapsed="false">
      <c r="A99" s="7" t="s">
        <v>416</v>
      </c>
      <c r="B99" s="7" t="s">
        <v>318</v>
      </c>
      <c r="C99" s="7" t="s">
        <v>319</v>
      </c>
      <c r="D99" s="7" t="s">
        <v>114</v>
      </c>
      <c r="E99" s="7" t="s">
        <v>94</v>
      </c>
      <c r="F99" s="7" t="s">
        <v>128</v>
      </c>
      <c r="G99" s="7" t="s">
        <v>117</v>
      </c>
      <c r="H99" s="7" t="s">
        <v>281</v>
      </c>
      <c r="I99" s="7" t="s">
        <v>282</v>
      </c>
      <c r="J99" s="8" t="n">
        <v>45411</v>
      </c>
      <c r="K99" s="8" t="n">
        <v>45468</v>
      </c>
      <c r="L99" s="9" t="n">
        <f aca="false">K99-J99</f>
        <v>57</v>
      </c>
      <c r="M99" s="10" t="n">
        <v>70352.58</v>
      </c>
      <c r="N99" s="7" t="s">
        <v>131</v>
      </c>
      <c r="O99" s="7"/>
      <c r="P99" s="8" t="n">
        <v>45471</v>
      </c>
      <c r="Q99" s="7" t="n">
        <v>1</v>
      </c>
      <c r="R99" s="8" t="n">
        <f aca="false">EDATE(P99,Q99)</f>
        <v>45501</v>
      </c>
    </row>
    <row r="100" customFormat="false" ht="15" hidden="false" customHeight="false" outlineLevel="0" collapsed="false">
      <c r="A100" s="7" t="s">
        <v>417</v>
      </c>
      <c r="B100" s="7" t="s">
        <v>418</v>
      </c>
      <c r="C100" s="7" t="s">
        <v>419</v>
      </c>
      <c r="D100" s="7" t="s">
        <v>93</v>
      </c>
      <c r="E100" s="7" t="s">
        <v>115</v>
      </c>
      <c r="F100" s="7" t="s">
        <v>95</v>
      </c>
      <c r="G100" s="7" t="s">
        <v>144</v>
      </c>
      <c r="H100" s="7" t="s">
        <v>270</v>
      </c>
      <c r="I100" s="7" t="s">
        <v>271</v>
      </c>
      <c r="J100" s="8" t="n">
        <v>45337</v>
      </c>
      <c r="K100" s="8" t="n">
        <v>45468</v>
      </c>
      <c r="L100" s="9" t="n">
        <f aca="false">K100-J100</f>
        <v>131</v>
      </c>
      <c r="M100" s="10" t="n">
        <v>83786.36</v>
      </c>
      <c r="N100" s="7" t="s">
        <v>131</v>
      </c>
      <c r="O100" s="7"/>
      <c r="P100" s="8" t="n">
        <v>45491</v>
      </c>
      <c r="Q100" s="7" t="n">
        <v>3</v>
      </c>
      <c r="R100" s="8" t="n">
        <f aca="false">EDATE(P100,Q100)</f>
        <v>45583</v>
      </c>
    </row>
    <row r="101" customFormat="false" ht="15" hidden="false" customHeight="false" outlineLevel="0" collapsed="false">
      <c r="A101" s="7" t="s">
        <v>420</v>
      </c>
      <c r="B101" s="7" t="s">
        <v>421</v>
      </c>
      <c r="C101" s="7" t="s">
        <v>422</v>
      </c>
      <c r="D101" s="7" t="s">
        <v>242</v>
      </c>
      <c r="E101" s="7" t="s">
        <v>105</v>
      </c>
      <c r="F101" s="7" t="s">
        <v>128</v>
      </c>
      <c r="G101" s="7" t="s">
        <v>184</v>
      </c>
      <c r="H101" s="7" t="s">
        <v>152</v>
      </c>
      <c r="I101" s="7" t="s">
        <v>153</v>
      </c>
      <c r="J101" s="8" t="n">
        <v>45400</v>
      </c>
      <c r="K101" s="8" t="n">
        <v>45472</v>
      </c>
      <c r="L101" s="9" t="n">
        <f aca="false">K101-J101</f>
        <v>72</v>
      </c>
      <c r="M101" s="10" t="n">
        <v>102414.34</v>
      </c>
      <c r="N101" s="7" t="s">
        <v>99</v>
      </c>
      <c r="O101" s="7" t="s">
        <v>219</v>
      </c>
      <c r="P101" s="7"/>
      <c r="Q101" s="7"/>
      <c r="R101" s="7"/>
    </row>
    <row r="102" customFormat="false" ht="15" hidden="false" customHeight="false" outlineLevel="0" collapsed="false">
      <c r="A102" s="7" t="s">
        <v>423</v>
      </c>
      <c r="B102" s="7" t="s">
        <v>424</v>
      </c>
      <c r="C102" s="7" t="s">
        <v>425</v>
      </c>
      <c r="D102" s="7" t="s">
        <v>114</v>
      </c>
      <c r="E102" s="7" t="s">
        <v>115</v>
      </c>
      <c r="F102" s="7" t="s">
        <v>95</v>
      </c>
      <c r="G102" s="7" t="s">
        <v>107</v>
      </c>
      <c r="H102" s="7" t="s">
        <v>185</v>
      </c>
      <c r="I102" s="7" t="s">
        <v>186</v>
      </c>
      <c r="J102" s="8" t="n">
        <v>45403</v>
      </c>
      <c r="K102" s="8" t="n">
        <v>45474</v>
      </c>
      <c r="L102" s="9" t="n">
        <f aca="false">K102-J102</f>
        <v>71</v>
      </c>
      <c r="M102" s="10" t="n">
        <v>71477</v>
      </c>
      <c r="N102" s="7" t="s">
        <v>99</v>
      </c>
      <c r="O102" s="7" t="s">
        <v>147</v>
      </c>
      <c r="P102" s="7"/>
      <c r="Q102" s="7"/>
      <c r="R102" s="7"/>
    </row>
    <row r="103" customFormat="false" ht="15" hidden="false" customHeight="false" outlineLevel="0" collapsed="false">
      <c r="A103" s="7" t="s">
        <v>426</v>
      </c>
      <c r="B103" s="7" t="s">
        <v>427</v>
      </c>
      <c r="C103" s="7" t="s">
        <v>428</v>
      </c>
      <c r="D103" s="7" t="s">
        <v>151</v>
      </c>
      <c r="E103" s="7" t="s">
        <v>94</v>
      </c>
      <c r="F103" s="7" t="s">
        <v>136</v>
      </c>
      <c r="G103" s="7" t="s">
        <v>107</v>
      </c>
      <c r="H103" s="7" t="s">
        <v>196</v>
      </c>
      <c r="I103" s="7" t="s">
        <v>197</v>
      </c>
      <c r="J103" s="8" t="n">
        <v>45385</v>
      </c>
      <c r="K103" s="8" t="n">
        <v>45476</v>
      </c>
      <c r="L103" s="9" t="n">
        <f aca="false">K103-J103</f>
        <v>91</v>
      </c>
      <c r="M103" s="10" t="n">
        <v>199802.57</v>
      </c>
      <c r="N103" s="7" t="s">
        <v>99</v>
      </c>
      <c r="O103" s="7" t="s">
        <v>124</v>
      </c>
      <c r="P103" s="7"/>
      <c r="Q103" s="7"/>
      <c r="R103" s="7"/>
    </row>
    <row r="104" customFormat="false" ht="15" hidden="false" customHeight="false" outlineLevel="0" collapsed="false">
      <c r="A104" s="7" t="s">
        <v>429</v>
      </c>
      <c r="B104" s="7" t="s">
        <v>412</v>
      </c>
      <c r="C104" s="7" t="s">
        <v>413</v>
      </c>
      <c r="D104" s="7" t="s">
        <v>151</v>
      </c>
      <c r="E104" s="7" t="s">
        <v>115</v>
      </c>
      <c r="F104" s="7" t="s">
        <v>106</v>
      </c>
      <c r="G104" s="7" t="s">
        <v>176</v>
      </c>
      <c r="H104" s="7" t="s">
        <v>129</v>
      </c>
      <c r="I104" s="7" t="s">
        <v>130</v>
      </c>
      <c r="J104" s="8" t="n">
        <v>45369</v>
      </c>
      <c r="K104" s="8" t="n">
        <v>45477</v>
      </c>
      <c r="L104" s="9" t="n">
        <f aca="false">K104-J104</f>
        <v>108</v>
      </c>
      <c r="M104" s="10" t="n">
        <v>195643.18</v>
      </c>
      <c r="N104" s="7" t="s">
        <v>99</v>
      </c>
      <c r="O104" s="7" t="s">
        <v>147</v>
      </c>
      <c r="P104" s="7"/>
      <c r="Q104" s="7"/>
      <c r="R104" s="7"/>
    </row>
    <row r="105" customFormat="false" ht="15" hidden="false" customHeight="false" outlineLevel="0" collapsed="false">
      <c r="A105" s="7" t="s">
        <v>430</v>
      </c>
      <c r="B105" s="7" t="s">
        <v>149</v>
      </c>
      <c r="C105" s="7" t="s">
        <v>150</v>
      </c>
      <c r="D105" s="7" t="s">
        <v>151</v>
      </c>
      <c r="E105" s="7" t="s">
        <v>94</v>
      </c>
      <c r="F105" s="7" t="s">
        <v>95</v>
      </c>
      <c r="G105" s="7" t="s">
        <v>96</v>
      </c>
      <c r="H105" s="7" t="s">
        <v>152</v>
      </c>
      <c r="I105" s="7" t="s">
        <v>153</v>
      </c>
      <c r="J105" s="8" t="n">
        <v>45407</v>
      </c>
      <c r="K105" s="8" t="n">
        <v>45478</v>
      </c>
      <c r="L105" s="9" t="n">
        <f aca="false">K105-J105</f>
        <v>71</v>
      </c>
      <c r="M105" s="10" t="n">
        <v>65904.12</v>
      </c>
      <c r="N105" s="7" t="s">
        <v>99</v>
      </c>
      <c r="O105" s="7" t="s">
        <v>147</v>
      </c>
      <c r="P105" s="7"/>
      <c r="Q105" s="7"/>
      <c r="R105" s="7"/>
    </row>
    <row r="106" customFormat="false" ht="15" hidden="false" customHeight="false" outlineLevel="0" collapsed="false">
      <c r="A106" s="7" t="s">
        <v>431</v>
      </c>
      <c r="B106" s="7" t="s">
        <v>250</v>
      </c>
      <c r="C106" s="7" t="s">
        <v>251</v>
      </c>
      <c r="D106" s="7" t="s">
        <v>195</v>
      </c>
      <c r="E106" s="7" t="s">
        <v>105</v>
      </c>
      <c r="F106" s="7" t="s">
        <v>116</v>
      </c>
      <c r="G106" s="7" t="s">
        <v>144</v>
      </c>
      <c r="H106" s="7" t="s">
        <v>281</v>
      </c>
      <c r="I106" s="7" t="s">
        <v>282</v>
      </c>
      <c r="J106" s="8" t="n">
        <v>45389</v>
      </c>
      <c r="K106" s="8" t="n">
        <v>45478</v>
      </c>
      <c r="L106" s="9" t="n">
        <f aca="false">K106-J106</f>
        <v>89</v>
      </c>
      <c r="M106" s="10" t="n">
        <v>67419.43</v>
      </c>
      <c r="N106" s="7" t="s">
        <v>99</v>
      </c>
      <c r="O106" s="7" t="s">
        <v>110</v>
      </c>
      <c r="P106" s="7"/>
      <c r="Q106" s="7"/>
      <c r="R106" s="7"/>
    </row>
    <row r="107" customFormat="false" ht="15" hidden="false" customHeight="false" outlineLevel="0" collapsed="false">
      <c r="A107" s="7" t="s">
        <v>432</v>
      </c>
      <c r="B107" s="7" t="s">
        <v>337</v>
      </c>
      <c r="C107" s="7" t="s">
        <v>338</v>
      </c>
      <c r="D107" s="7" t="s">
        <v>201</v>
      </c>
      <c r="E107" s="7" t="s">
        <v>94</v>
      </c>
      <c r="F107" s="7" t="s">
        <v>143</v>
      </c>
      <c r="G107" s="7" t="s">
        <v>117</v>
      </c>
      <c r="H107" s="7" t="s">
        <v>305</v>
      </c>
      <c r="I107" s="7" t="s">
        <v>306</v>
      </c>
      <c r="J107" s="8" t="n">
        <v>45370</v>
      </c>
      <c r="K107" s="8" t="n">
        <v>45481</v>
      </c>
      <c r="L107" s="9" t="n">
        <f aca="false">K107-J107</f>
        <v>111</v>
      </c>
      <c r="M107" s="10" t="n">
        <v>318673.47</v>
      </c>
      <c r="N107" s="7" t="s">
        <v>131</v>
      </c>
      <c r="O107" s="7"/>
      <c r="P107" s="8" t="n">
        <v>45498</v>
      </c>
      <c r="Q107" s="7" t="n">
        <v>5</v>
      </c>
      <c r="R107" s="8" t="n">
        <f aca="false">EDATE(P107,Q107)</f>
        <v>45651</v>
      </c>
    </row>
    <row r="108" customFormat="false" ht="15" hidden="false" customHeight="false" outlineLevel="0" collapsed="false">
      <c r="A108" s="7" t="s">
        <v>433</v>
      </c>
      <c r="B108" s="7" t="s">
        <v>343</v>
      </c>
      <c r="C108" s="7" t="s">
        <v>344</v>
      </c>
      <c r="D108" s="7" t="s">
        <v>93</v>
      </c>
      <c r="E108" s="7" t="s">
        <v>94</v>
      </c>
      <c r="F108" s="7" t="s">
        <v>143</v>
      </c>
      <c r="G108" s="7" t="s">
        <v>184</v>
      </c>
      <c r="H108" s="7" t="s">
        <v>145</v>
      </c>
      <c r="I108" s="7" t="s">
        <v>146</v>
      </c>
      <c r="J108" s="8" t="n">
        <v>45347</v>
      </c>
      <c r="K108" s="8" t="n">
        <v>45482</v>
      </c>
      <c r="L108" s="9" t="n">
        <f aca="false">K108-J108</f>
        <v>135</v>
      </c>
      <c r="M108" s="10" t="n">
        <v>263004.45</v>
      </c>
      <c r="N108" s="7" t="s">
        <v>99</v>
      </c>
      <c r="O108" s="7" t="s">
        <v>124</v>
      </c>
      <c r="P108" s="7"/>
      <c r="Q108" s="7"/>
      <c r="R108" s="7"/>
    </row>
    <row r="109" customFormat="false" ht="15" hidden="false" customHeight="false" outlineLevel="0" collapsed="false">
      <c r="A109" s="7" t="s">
        <v>434</v>
      </c>
      <c r="B109" s="7" t="s">
        <v>226</v>
      </c>
      <c r="C109" s="7" t="s">
        <v>227</v>
      </c>
      <c r="D109" s="7" t="s">
        <v>93</v>
      </c>
      <c r="E109" s="7" t="s">
        <v>105</v>
      </c>
      <c r="F109" s="7" t="s">
        <v>106</v>
      </c>
      <c r="G109" s="7" t="s">
        <v>184</v>
      </c>
      <c r="H109" s="7" t="s">
        <v>152</v>
      </c>
      <c r="I109" s="7" t="s">
        <v>153</v>
      </c>
      <c r="J109" s="8" t="n">
        <v>45433</v>
      </c>
      <c r="K109" s="8" t="n">
        <v>45483</v>
      </c>
      <c r="L109" s="9" t="n">
        <f aca="false">K109-J109</f>
        <v>50</v>
      </c>
      <c r="M109" s="10" t="n">
        <v>16710.66</v>
      </c>
      <c r="N109" s="7" t="s">
        <v>99</v>
      </c>
      <c r="O109" s="7" t="s">
        <v>118</v>
      </c>
      <c r="P109" s="7"/>
      <c r="Q109" s="7"/>
      <c r="R109" s="7"/>
    </row>
    <row r="110" customFormat="false" ht="15" hidden="false" customHeight="false" outlineLevel="0" collapsed="false">
      <c r="A110" s="7" t="s">
        <v>435</v>
      </c>
      <c r="B110" s="7" t="s">
        <v>424</v>
      </c>
      <c r="C110" s="7" t="s">
        <v>425</v>
      </c>
      <c r="D110" s="7" t="s">
        <v>114</v>
      </c>
      <c r="E110" s="7" t="s">
        <v>115</v>
      </c>
      <c r="F110" s="7" t="s">
        <v>136</v>
      </c>
      <c r="G110" s="7" t="s">
        <v>184</v>
      </c>
      <c r="H110" s="7" t="s">
        <v>145</v>
      </c>
      <c r="I110" s="7" t="s">
        <v>146</v>
      </c>
      <c r="J110" s="8" t="n">
        <v>45414</v>
      </c>
      <c r="K110" s="8" t="n">
        <v>45486</v>
      </c>
      <c r="L110" s="9" t="n">
        <f aca="false">K110-J110</f>
        <v>72</v>
      </c>
      <c r="M110" s="10" t="n">
        <v>74875.03</v>
      </c>
      <c r="N110" s="7" t="s">
        <v>99</v>
      </c>
      <c r="O110" s="7" t="s">
        <v>219</v>
      </c>
      <c r="P110" s="7"/>
      <c r="Q110" s="7"/>
      <c r="R110" s="7"/>
    </row>
    <row r="111" customFormat="false" ht="15" hidden="false" customHeight="false" outlineLevel="0" collapsed="false">
      <c r="A111" s="7" t="s">
        <v>436</v>
      </c>
      <c r="B111" s="7" t="s">
        <v>437</v>
      </c>
      <c r="C111" s="7" t="s">
        <v>438</v>
      </c>
      <c r="D111" s="7" t="s">
        <v>104</v>
      </c>
      <c r="E111" s="7" t="s">
        <v>94</v>
      </c>
      <c r="F111" s="7" t="s">
        <v>157</v>
      </c>
      <c r="G111" s="7" t="s">
        <v>137</v>
      </c>
      <c r="H111" s="7" t="s">
        <v>278</v>
      </c>
      <c r="I111" s="7" t="s">
        <v>279</v>
      </c>
      <c r="J111" s="8" t="n">
        <v>45397</v>
      </c>
      <c r="K111" s="8" t="n">
        <v>45494</v>
      </c>
      <c r="L111" s="9" t="n">
        <f aca="false">K111-J111</f>
        <v>97</v>
      </c>
      <c r="M111" s="10" t="n">
        <v>46687.44</v>
      </c>
      <c r="N111" s="7" t="s">
        <v>131</v>
      </c>
      <c r="O111" s="7"/>
      <c r="P111" s="8" t="n">
        <v>45499</v>
      </c>
      <c r="Q111" s="7" t="n">
        <v>3</v>
      </c>
      <c r="R111" s="8" t="n">
        <f aca="false">EDATE(P111,Q111)</f>
        <v>45591</v>
      </c>
    </row>
    <row r="112" customFormat="false" ht="15" hidden="false" customHeight="false" outlineLevel="0" collapsed="false">
      <c r="A112" s="7" t="s">
        <v>439</v>
      </c>
      <c r="B112" s="7" t="s">
        <v>440</v>
      </c>
      <c r="C112" s="7" t="s">
        <v>441</v>
      </c>
      <c r="D112" s="7" t="s">
        <v>114</v>
      </c>
      <c r="E112" s="7" t="s">
        <v>94</v>
      </c>
      <c r="F112" s="7" t="s">
        <v>157</v>
      </c>
      <c r="G112" s="7" t="s">
        <v>107</v>
      </c>
      <c r="H112" s="7" t="s">
        <v>145</v>
      </c>
      <c r="I112" s="7" t="s">
        <v>146</v>
      </c>
      <c r="J112" s="8" t="n">
        <v>45402</v>
      </c>
      <c r="K112" s="8" t="n">
        <v>45495</v>
      </c>
      <c r="L112" s="9" t="n">
        <f aca="false">K112-J112</f>
        <v>93</v>
      </c>
      <c r="M112" s="10" t="n">
        <v>75368.66</v>
      </c>
      <c r="N112" s="7" t="s">
        <v>99</v>
      </c>
      <c r="O112" s="7" t="s">
        <v>219</v>
      </c>
      <c r="P112" s="7"/>
      <c r="Q112" s="7"/>
      <c r="R112" s="7"/>
    </row>
    <row r="113" customFormat="false" ht="15" hidden="false" customHeight="false" outlineLevel="0" collapsed="false">
      <c r="A113" s="7" t="s">
        <v>442</v>
      </c>
      <c r="B113" s="7" t="s">
        <v>443</v>
      </c>
      <c r="C113" s="7" t="s">
        <v>444</v>
      </c>
      <c r="D113" s="7" t="s">
        <v>201</v>
      </c>
      <c r="E113" s="7" t="s">
        <v>105</v>
      </c>
      <c r="F113" s="7" t="s">
        <v>143</v>
      </c>
      <c r="G113" s="7" t="s">
        <v>107</v>
      </c>
      <c r="H113" s="7" t="s">
        <v>205</v>
      </c>
      <c r="I113" s="7" t="s">
        <v>206</v>
      </c>
      <c r="J113" s="8" t="n">
        <v>45396</v>
      </c>
      <c r="K113" s="8" t="n">
        <v>45501</v>
      </c>
      <c r="L113" s="9" t="n">
        <f aca="false">K113-J113</f>
        <v>105</v>
      </c>
      <c r="M113" s="10" t="n">
        <v>286699.36</v>
      </c>
      <c r="N113" s="7" t="s">
        <v>99</v>
      </c>
      <c r="O113" s="7" t="s">
        <v>219</v>
      </c>
      <c r="P113" s="7"/>
      <c r="Q113" s="7"/>
      <c r="R113" s="7"/>
    </row>
    <row r="114" customFormat="false" ht="15" hidden="false" customHeight="false" outlineLevel="0" collapsed="false">
      <c r="A114" s="7" t="s">
        <v>445</v>
      </c>
      <c r="B114" s="7" t="s">
        <v>273</v>
      </c>
      <c r="C114" s="7" t="s">
        <v>274</v>
      </c>
      <c r="D114" s="7" t="s">
        <v>195</v>
      </c>
      <c r="E114" s="7" t="s">
        <v>94</v>
      </c>
      <c r="F114" s="7" t="s">
        <v>136</v>
      </c>
      <c r="G114" s="7" t="s">
        <v>117</v>
      </c>
      <c r="H114" s="7" t="s">
        <v>180</v>
      </c>
      <c r="I114" s="7" t="s">
        <v>181</v>
      </c>
      <c r="J114" s="8" t="n">
        <v>45457</v>
      </c>
      <c r="K114" s="8" t="n">
        <v>45502</v>
      </c>
      <c r="L114" s="9" t="n">
        <f aca="false">K114-J114</f>
        <v>45</v>
      </c>
      <c r="M114" s="10" t="n">
        <v>106193.88</v>
      </c>
      <c r="N114" s="7" t="s">
        <v>99</v>
      </c>
      <c r="O114" s="7" t="s">
        <v>100</v>
      </c>
      <c r="P114" s="7"/>
      <c r="Q114" s="7"/>
      <c r="R114" s="7"/>
    </row>
    <row r="115" customFormat="false" ht="15" hidden="false" customHeight="false" outlineLevel="0" collapsed="false">
      <c r="A115" s="7" t="s">
        <v>446</v>
      </c>
      <c r="B115" s="7" t="s">
        <v>447</v>
      </c>
      <c r="C115" s="7" t="s">
        <v>448</v>
      </c>
      <c r="D115" s="7" t="s">
        <v>93</v>
      </c>
      <c r="E115" s="7" t="s">
        <v>115</v>
      </c>
      <c r="F115" s="7" t="s">
        <v>106</v>
      </c>
      <c r="G115" s="7" t="s">
        <v>107</v>
      </c>
      <c r="H115" s="7" t="s">
        <v>166</v>
      </c>
      <c r="I115" s="7" t="s">
        <v>167</v>
      </c>
      <c r="J115" s="8" t="n">
        <v>45424</v>
      </c>
      <c r="K115" s="8" t="n">
        <v>45502</v>
      </c>
      <c r="L115" s="9" t="n">
        <f aca="false">K115-J115</f>
        <v>78</v>
      </c>
      <c r="M115" s="10" t="n">
        <v>65632.09</v>
      </c>
      <c r="N115" s="7" t="s">
        <v>99</v>
      </c>
      <c r="O115" s="7" t="s">
        <v>147</v>
      </c>
      <c r="P115" s="7"/>
      <c r="Q115" s="7"/>
      <c r="R115" s="7"/>
    </row>
    <row r="116" customFormat="false" ht="15" hidden="false" customHeight="false" outlineLevel="0" collapsed="false">
      <c r="A116" s="7" t="s">
        <v>449</v>
      </c>
      <c r="B116" s="7" t="s">
        <v>284</v>
      </c>
      <c r="C116" s="7" t="s">
        <v>285</v>
      </c>
      <c r="D116" s="7" t="s">
        <v>201</v>
      </c>
      <c r="E116" s="7" t="s">
        <v>105</v>
      </c>
      <c r="F116" s="7" t="s">
        <v>136</v>
      </c>
      <c r="G116" s="7" t="s">
        <v>107</v>
      </c>
      <c r="H116" s="7" t="s">
        <v>180</v>
      </c>
      <c r="I116" s="7" t="s">
        <v>181</v>
      </c>
      <c r="J116" s="8" t="n">
        <v>45379</v>
      </c>
      <c r="K116" s="8" t="n">
        <v>45502</v>
      </c>
      <c r="L116" s="9" t="n">
        <f aca="false">K116-J116</f>
        <v>123</v>
      </c>
      <c r="M116" s="10" t="n">
        <v>93333.29</v>
      </c>
      <c r="N116" s="7" t="s">
        <v>131</v>
      </c>
      <c r="O116" s="7"/>
      <c r="P116" s="8" t="n">
        <v>45515</v>
      </c>
      <c r="Q116" s="7" t="n">
        <v>3</v>
      </c>
      <c r="R116" s="8" t="n">
        <f aca="false">EDATE(P116,Q116)</f>
        <v>45607</v>
      </c>
    </row>
    <row r="117" customFormat="false" ht="15" hidden="false" customHeight="false" outlineLevel="0" collapsed="false">
      <c r="A117" s="7" t="s">
        <v>450</v>
      </c>
      <c r="B117" s="7" t="s">
        <v>427</v>
      </c>
      <c r="C117" s="7" t="s">
        <v>428</v>
      </c>
      <c r="D117" s="7" t="s">
        <v>151</v>
      </c>
      <c r="E117" s="7" t="s">
        <v>94</v>
      </c>
      <c r="F117" s="7" t="s">
        <v>128</v>
      </c>
      <c r="G117" s="7" t="s">
        <v>144</v>
      </c>
      <c r="H117" s="7" t="s">
        <v>278</v>
      </c>
      <c r="I117" s="7" t="s">
        <v>279</v>
      </c>
      <c r="J117" s="8" t="n">
        <v>45425</v>
      </c>
      <c r="K117" s="8" t="n">
        <v>45502</v>
      </c>
      <c r="L117" s="9" t="n">
        <f aca="false">K117-J117</f>
        <v>77</v>
      </c>
      <c r="M117" s="10" t="n">
        <v>21265.9</v>
      </c>
      <c r="N117" s="7" t="s">
        <v>131</v>
      </c>
      <c r="O117" s="7"/>
      <c r="P117" s="8" t="n">
        <v>45520</v>
      </c>
      <c r="Q117" s="7" t="n">
        <v>3</v>
      </c>
      <c r="R117" s="8" t="n">
        <f aca="false">EDATE(P117,Q117)</f>
        <v>45612</v>
      </c>
    </row>
    <row r="118" customFormat="false" ht="15" hidden="false" customHeight="false" outlineLevel="0" collapsed="false">
      <c r="A118" s="7" t="s">
        <v>451</v>
      </c>
      <c r="B118" s="7" t="s">
        <v>237</v>
      </c>
      <c r="C118" s="7" t="s">
        <v>238</v>
      </c>
      <c r="D118" s="7" t="s">
        <v>195</v>
      </c>
      <c r="E118" s="7" t="s">
        <v>94</v>
      </c>
      <c r="F118" s="7" t="s">
        <v>143</v>
      </c>
      <c r="G118" s="7" t="s">
        <v>144</v>
      </c>
      <c r="H118" s="7" t="s">
        <v>129</v>
      </c>
      <c r="I118" s="7" t="s">
        <v>130</v>
      </c>
      <c r="J118" s="8" t="n">
        <v>45429</v>
      </c>
      <c r="K118" s="8" t="n">
        <v>45503</v>
      </c>
      <c r="L118" s="9" t="n">
        <f aca="false">K118-J118</f>
        <v>74</v>
      </c>
      <c r="M118" s="10" t="n">
        <v>62626.65</v>
      </c>
      <c r="N118" s="7" t="s">
        <v>99</v>
      </c>
      <c r="O118" s="7" t="s">
        <v>100</v>
      </c>
      <c r="P118" s="7"/>
      <c r="Q118" s="7"/>
      <c r="R118" s="7"/>
    </row>
    <row r="119" customFormat="false" ht="15" hidden="false" customHeight="false" outlineLevel="0" collapsed="false">
      <c r="A119" s="7" t="s">
        <v>452</v>
      </c>
      <c r="B119" s="7" t="s">
        <v>353</v>
      </c>
      <c r="C119" s="7" t="s">
        <v>354</v>
      </c>
      <c r="D119" s="7" t="s">
        <v>151</v>
      </c>
      <c r="E119" s="7" t="s">
        <v>105</v>
      </c>
      <c r="F119" s="7" t="s">
        <v>143</v>
      </c>
      <c r="G119" s="7" t="s">
        <v>117</v>
      </c>
      <c r="H119" s="7" t="s">
        <v>177</v>
      </c>
      <c r="I119" s="7" t="s">
        <v>178</v>
      </c>
      <c r="J119" s="8" t="n">
        <v>45422</v>
      </c>
      <c r="K119" s="8" t="n">
        <v>45506</v>
      </c>
      <c r="L119" s="9" t="n">
        <f aca="false">K119-J119</f>
        <v>84</v>
      </c>
      <c r="M119" s="10" t="n">
        <v>219973.15</v>
      </c>
      <c r="N119" s="7" t="s">
        <v>99</v>
      </c>
      <c r="O119" s="7" t="s">
        <v>110</v>
      </c>
      <c r="P119" s="7"/>
      <c r="Q119" s="7"/>
      <c r="R119" s="7"/>
    </row>
    <row r="120" customFormat="false" ht="15" hidden="false" customHeight="false" outlineLevel="0" collapsed="false">
      <c r="A120" s="7" t="s">
        <v>453</v>
      </c>
      <c r="B120" s="7" t="s">
        <v>454</v>
      </c>
      <c r="C120" s="7" t="s">
        <v>455</v>
      </c>
      <c r="D120" s="7" t="s">
        <v>242</v>
      </c>
      <c r="E120" s="7" t="s">
        <v>105</v>
      </c>
      <c r="F120" s="7" t="s">
        <v>143</v>
      </c>
      <c r="G120" s="7" t="s">
        <v>137</v>
      </c>
      <c r="H120" s="7" t="s">
        <v>180</v>
      </c>
      <c r="I120" s="7" t="s">
        <v>181</v>
      </c>
      <c r="J120" s="8" t="n">
        <v>45404</v>
      </c>
      <c r="K120" s="8" t="n">
        <v>45506</v>
      </c>
      <c r="L120" s="9" t="n">
        <f aca="false">K120-J120</f>
        <v>102</v>
      </c>
      <c r="M120" s="10" t="n">
        <v>67947.38</v>
      </c>
      <c r="N120" s="7" t="s">
        <v>131</v>
      </c>
      <c r="O120" s="7"/>
      <c r="P120" s="8" t="n">
        <v>45528</v>
      </c>
      <c r="Q120" s="7" t="n">
        <v>11</v>
      </c>
      <c r="R120" s="8" t="n">
        <f aca="false">EDATE(P120,Q120)</f>
        <v>45862</v>
      </c>
    </row>
    <row r="121" customFormat="false" ht="15" hidden="false" customHeight="false" outlineLevel="0" collapsed="false">
      <c r="A121" s="7" t="s">
        <v>456</v>
      </c>
      <c r="B121" s="7" t="s">
        <v>457</v>
      </c>
      <c r="C121" s="7" t="s">
        <v>458</v>
      </c>
      <c r="D121" s="7" t="s">
        <v>242</v>
      </c>
      <c r="E121" s="7" t="s">
        <v>94</v>
      </c>
      <c r="F121" s="7" t="s">
        <v>136</v>
      </c>
      <c r="G121" s="7" t="s">
        <v>117</v>
      </c>
      <c r="H121" s="7" t="s">
        <v>402</v>
      </c>
      <c r="I121" s="7" t="s">
        <v>403</v>
      </c>
      <c r="J121" s="8" t="n">
        <v>45429</v>
      </c>
      <c r="K121" s="8" t="n">
        <v>45510</v>
      </c>
      <c r="L121" s="9" t="n">
        <f aca="false">K121-J121</f>
        <v>81</v>
      </c>
      <c r="M121" s="10" t="n">
        <v>159562.5</v>
      </c>
      <c r="N121" s="7" t="s">
        <v>131</v>
      </c>
      <c r="O121" s="7"/>
      <c r="P121" s="8" t="n">
        <v>45519</v>
      </c>
      <c r="Q121" s="7" t="n">
        <v>3</v>
      </c>
      <c r="R121" s="8" t="n">
        <f aca="false">EDATE(P121,Q121)</f>
        <v>45611</v>
      </c>
    </row>
    <row r="122" customFormat="false" ht="15" hidden="false" customHeight="false" outlineLevel="0" collapsed="false">
      <c r="A122" s="7" t="s">
        <v>459</v>
      </c>
      <c r="B122" s="7" t="s">
        <v>457</v>
      </c>
      <c r="C122" s="7" t="s">
        <v>458</v>
      </c>
      <c r="D122" s="7" t="s">
        <v>242</v>
      </c>
      <c r="E122" s="7" t="s">
        <v>94</v>
      </c>
      <c r="F122" s="7" t="s">
        <v>143</v>
      </c>
      <c r="G122" s="7" t="s">
        <v>184</v>
      </c>
      <c r="H122" s="7" t="s">
        <v>185</v>
      </c>
      <c r="I122" s="7" t="s">
        <v>186</v>
      </c>
      <c r="J122" s="8" t="n">
        <v>45474</v>
      </c>
      <c r="K122" s="8" t="n">
        <v>45512</v>
      </c>
      <c r="L122" s="9" t="n">
        <f aca="false">K122-J122</f>
        <v>38</v>
      </c>
      <c r="M122" s="10" t="n">
        <v>77200.29</v>
      </c>
      <c r="N122" s="7" t="s">
        <v>99</v>
      </c>
      <c r="O122" s="7" t="s">
        <v>147</v>
      </c>
      <c r="P122" s="7"/>
      <c r="Q122" s="7"/>
      <c r="R122" s="7"/>
    </row>
    <row r="123" customFormat="false" ht="15" hidden="false" customHeight="false" outlineLevel="0" collapsed="false">
      <c r="A123" s="7" t="s">
        <v>460</v>
      </c>
      <c r="B123" s="7" t="s">
        <v>447</v>
      </c>
      <c r="C123" s="7" t="s">
        <v>448</v>
      </c>
      <c r="D123" s="7" t="s">
        <v>93</v>
      </c>
      <c r="E123" s="7" t="s">
        <v>115</v>
      </c>
      <c r="F123" s="7" t="s">
        <v>128</v>
      </c>
      <c r="G123" s="7" t="s">
        <v>176</v>
      </c>
      <c r="H123" s="7" t="s">
        <v>258</v>
      </c>
      <c r="I123" s="7" t="s">
        <v>259</v>
      </c>
      <c r="J123" s="8" t="n">
        <v>45455</v>
      </c>
      <c r="K123" s="8" t="n">
        <v>45513</v>
      </c>
      <c r="L123" s="9" t="n">
        <f aca="false">K123-J123</f>
        <v>58</v>
      </c>
      <c r="M123" s="10" t="n">
        <v>67307.54</v>
      </c>
      <c r="N123" s="7" t="s">
        <v>99</v>
      </c>
      <c r="O123" s="7" t="s">
        <v>219</v>
      </c>
      <c r="P123" s="7"/>
      <c r="Q123" s="7"/>
      <c r="R123" s="7"/>
    </row>
    <row r="124" customFormat="false" ht="15" hidden="false" customHeight="false" outlineLevel="0" collapsed="false">
      <c r="A124" s="7" t="s">
        <v>461</v>
      </c>
      <c r="B124" s="7" t="s">
        <v>369</v>
      </c>
      <c r="C124" s="7" t="s">
        <v>370</v>
      </c>
      <c r="D124" s="7" t="s">
        <v>242</v>
      </c>
      <c r="E124" s="7" t="s">
        <v>115</v>
      </c>
      <c r="F124" s="7" t="s">
        <v>183</v>
      </c>
      <c r="G124" s="7" t="s">
        <v>117</v>
      </c>
      <c r="H124" s="7" t="s">
        <v>108</v>
      </c>
      <c r="I124" s="7" t="s">
        <v>109</v>
      </c>
      <c r="J124" s="8" t="n">
        <v>45424</v>
      </c>
      <c r="K124" s="8" t="n">
        <v>45516</v>
      </c>
      <c r="L124" s="9" t="n">
        <f aca="false">K124-J124</f>
        <v>92</v>
      </c>
      <c r="M124" s="10" t="n">
        <v>183927.1</v>
      </c>
      <c r="N124" s="7" t="s">
        <v>99</v>
      </c>
      <c r="O124" s="7" t="s">
        <v>219</v>
      </c>
      <c r="P124" s="7"/>
      <c r="Q124" s="7"/>
      <c r="R124" s="7"/>
    </row>
    <row r="125" customFormat="false" ht="15" hidden="false" customHeight="false" outlineLevel="0" collapsed="false">
      <c r="A125" s="7" t="s">
        <v>462</v>
      </c>
      <c r="B125" s="7" t="s">
        <v>463</v>
      </c>
      <c r="C125" s="7" t="s">
        <v>464</v>
      </c>
      <c r="D125" s="7" t="s">
        <v>151</v>
      </c>
      <c r="E125" s="7" t="s">
        <v>115</v>
      </c>
      <c r="F125" s="7" t="s">
        <v>95</v>
      </c>
      <c r="G125" s="7" t="s">
        <v>184</v>
      </c>
      <c r="H125" s="7" t="s">
        <v>305</v>
      </c>
      <c r="I125" s="7" t="s">
        <v>306</v>
      </c>
      <c r="J125" s="8" t="n">
        <v>45454</v>
      </c>
      <c r="K125" s="8" t="n">
        <v>45518</v>
      </c>
      <c r="L125" s="9" t="n">
        <f aca="false">K125-J125</f>
        <v>64</v>
      </c>
      <c r="M125" s="10" t="n">
        <v>68164.47</v>
      </c>
      <c r="N125" s="7" t="s">
        <v>131</v>
      </c>
      <c r="O125" s="7"/>
      <c r="P125" s="8" t="n">
        <v>45541</v>
      </c>
      <c r="Q125" s="7" t="n">
        <v>4</v>
      </c>
      <c r="R125" s="8" t="n">
        <f aca="false">EDATE(P125,Q125)</f>
        <v>45663</v>
      </c>
    </row>
    <row r="126" customFormat="false" ht="15" hidden="false" customHeight="false" outlineLevel="0" collapsed="false">
      <c r="A126" s="7" t="s">
        <v>465</v>
      </c>
      <c r="B126" s="7" t="s">
        <v>203</v>
      </c>
      <c r="C126" s="7" t="s">
        <v>204</v>
      </c>
      <c r="D126" s="7" t="s">
        <v>195</v>
      </c>
      <c r="E126" s="7" t="s">
        <v>94</v>
      </c>
      <c r="F126" s="7" t="s">
        <v>128</v>
      </c>
      <c r="G126" s="7" t="s">
        <v>137</v>
      </c>
      <c r="H126" s="7" t="s">
        <v>166</v>
      </c>
      <c r="I126" s="7" t="s">
        <v>167</v>
      </c>
      <c r="J126" s="8" t="n">
        <v>45465</v>
      </c>
      <c r="K126" s="8" t="n">
        <v>45521</v>
      </c>
      <c r="L126" s="9" t="n">
        <f aca="false">K126-J126</f>
        <v>56</v>
      </c>
      <c r="M126" s="10" t="n">
        <v>56439.86</v>
      </c>
      <c r="N126" s="7" t="s">
        <v>99</v>
      </c>
      <c r="O126" s="7" t="s">
        <v>118</v>
      </c>
      <c r="P126" s="7"/>
      <c r="Q126" s="7"/>
      <c r="R126" s="7"/>
    </row>
    <row r="127" customFormat="false" ht="15" hidden="false" customHeight="false" outlineLevel="0" collapsed="false">
      <c r="A127" s="7" t="s">
        <v>466</v>
      </c>
      <c r="B127" s="7" t="s">
        <v>467</v>
      </c>
      <c r="C127" s="7" t="s">
        <v>468</v>
      </c>
      <c r="D127" s="7" t="s">
        <v>93</v>
      </c>
      <c r="E127" s="7" t="s">
        <v>162</v>
      </c>
      <c r="F127" s="7" t="s">
        <v>95</v>
      </c>
      <c r="G127" s="7" t="s">
        <v>96</v>
      </c>
      <c r="H127" s="7" t="s">
        <v>223</v>
      </c>
      <c r="I127" s="7" t="s">
        <v>224</v>
      </c>
      <c r="J127" s="8" t="n">
        <v>45446</v>
      </c>
      <c r="K127" s="8" t="n">
        <v>45521</v>
      </c>
      <c r="L127" s="9" t="n">
        <f aca="false">K127-J127</f>
        <v>75</v>
      </c>
      <c r="M127" s="10" t="n">
        <v>31439.84</v>
      </c>
      <c r="N127" s="7" t="s">
        <v>99</v>
      </c>
      <c r="O127" s="7" t="s">
        <v>219</v>
      </c>
      <c r="P127" s="7"/>
      <c r="Q127" s="7"/>
      <c r="R127" s="7"/>
    </row>
    <row r="128" customFormat="false" ht="15" hidden="false" customHeight="false" outlineLevel="0" collapsed="false">
      <c r="A128" s="7" t="s">
        <v>469</v>
      </c>
      <c r="B128" s="7" t="s">
        <v>470</v>
      </c>
      <c r="C128" s="7" t="s">
        <v>471</v>
      </c>
      <c r="D128" s="7" t="s">
        <v>201</v>
      </c>
      <c r="E128" s="7" t="s">
        <v>115</v>
      </c>
      <c r="F128" s="7" t="s">
        <v>157</v>
      </c>
      <c r="G128" s="7" t="s">
        <v>184</v>
      </c>
      <c r="H128" s="7" t="s">
        <v>258</v>
      </c>
      <c r="I128" s="7" t="s">
        <v>259</v>
      </c>
      <c r="J128" s="8" t="n">
        <v>45459</v>
      </c>
      <c r="K128" s="8" t="n">
        <v>45525</v>
      </c>
      <c r="L128" s="9" t="n">
        <f aca="false">K128-J128</f>
        <v>66</v>
      </c>
      <c r="M128" s="10" t="n">
        <v>62782.82</v>
      </c>
      <c r="N128" s="7" t="s">
        <v>99</v>
      </c>
      <c r="O128" s="7" t="s">
        <v>118</v>
      </c>
      <c r="P128" s="7"/>
      <c r="Q128" s="7"/>
      <c r="R128" s="7"/>
    </row>
    <row r="129" customFormat="false" ht="15" hidden="false" customHeight="false" outlineLevel="0" collapsed="false">
      <c r="A129" s="7" t="s">
        <v>472</v>
      </c>
      <c r="B129" s="7" t="s">
        <v>120</v>
      </c>
      <c r="C129" s="7" t="s">
        <v>121</v>
      </c>
      <c r="D129" s="7" t="s">
        <v>104</v>
      </c>
      <c r="E129" s="7" t="s">
        <v>105</v>
      </c>
      <c r="F129" s="7" t="s">
        <v>183</v>
      </c>
      <c r="G129" s="7" t="s">
        <v>107</v>
      </c>
      <c r="H129" s="7" t="s">
        <v>171</v>
      </c>
      <c r="I129" s="7" t="s">
        <v>172</v>
      </c>
      <c r="J129" s="8" t="n">
        <v>45445</v>
      </c>
      <c r="K129" s="8" t="n">
        <v>45525</v>
      </c>
      <c r="L129" s="9" t="n">
        <f aca="false">K129-J129</f>
        <v>80</v>
      </c>
      <c r="M129" s="10" t="n">
        <v>119699.08</v>
      </c>
      <c r="N129" s="7" t="s">
        <v>99</v>
      </c>
      <c r="O129" s="7" t="s">
        <v>100</v>
      </c>
      <c r="P129" s="7"/>
      <c r="Q129" s="7"/>
      <c r="R129" s="7"/>
    </row>
    <row r="130" customFormat="false" ht="15" hidden="false" customHeight="false" outlineLevel="0" collapsed="false">
      <c r="A130" s="7" t="s">
        <v>473</v>
      </c>
      <c r="B130" s="7" t="s">
        <v>226</v>
      </c>
      <c r="C130" s="7" t="s">
        <v>227</v>
      </c>
      <c r="D130" s="7" t="s">
        <v>93</v>
      </c>
      <c r="E130" s="7" t="s">
        <v>105</v>
      </c>
      <c r="F130" s="7" t="s">
        <v>106</v>
      </c>
      <c r="G130" s="7" t="s">
        <v>107</v>
      </c>
      <c r="H130" s="7" t="s">
        <v>171</v>
      </c>
      <c r="I130" s="7" t="s">
        <v>172</v>
      </c>
      <c r="J130" s="8" t="n">
        <v>45419</v>
      </c>
      <c r="K130" s="8" t="n">
        <v>45525</v>
      </c>
      <c r="L130" s="9" t="n">
        <f aca="false">K130-J130</f>
        <v>106</v>
      </c>
      <c r="M130" s="10" t="n">
        <v>95470.34</v>
      </c>
      <c r="N130" s="7" t="s">
        <v>99</v>
      </c>
      <c r="O130" s="7" t="s">
        <v>147</v>
      </c>
      <c r="P130" s="7"/>
      <c r="Q130" s="7"/>
      <c r="R130" s="7"/>
    </row>
    <row r="131" customFormat="false" ht="15" hidden="false" customHeight="false" outlineLevel="0" collapsed="false">
      <c r="A131" s="7" t="s">
        <v>474</v>
      </c>
      <c r="B131" s="7" t="s">
        <v>375</v>
      </c>
      <c r="C131" s="7" t="s">
        <v>376</v>
      </c>
      <c r="D131" s="7" t="s">
        <v>201</v>
      </c>
      <c r="E131" s="7" t="s">
        <v>115</v>
      </c>
      <c r="F131" s="7" t="s">
        <v>136</v>
      </c>
      <c r="G131" s="7" t="s">
        <v>117</v>
      </c>
      <c r="H131" s="7" t="s">
        <v>171</v>
      </c>
      <c r="I131" s="7" t="s">
        <v>172</v>
      </c>
      <c r="J131" s="8" t="n">
        <v>45480</v>
      </c>
      <c r="K131" s="8" t="n">
        <v>45526</v>
      </c>
      <c r="L131" s="9" t="n">
        <f aca="false">K131-J131</f>
        <v>46</v>
      </c>
      <c r="M131" s="10" t="n">
        <v>127564.23</v>
      </c>
      <c r="N131" s="7" t="s">
        <v>99</v>
      </c>
      <c r="O131" s="7" t="s">
        <v>110</v>
      </c>
      <c r="P131" s="7"/>
      <c r="Q131" s="7"/>
      <c r="R131" s="7"/>
    </row>
    <row r="132" customFormat="false" ht="15" hidden="false" customHeight="false" outlineLevel="0" collapsed="false">
      <c r="A132" s="7" t="s">
        <v>475</v>
      </c>
      <c r="B132" s="7" t="s">
        <v>291</v>
      </c>
      <c r="C132" s="7" t="s">
        <v>292</v>
      </c>
      <c r="D132" s="7" t="s">
        <v>201</v>
      </c>
      <c r="E132" s="7" t="s">
        <v>94</v>
      </c>
      <c r="F132" s="7" t="s">
        <v>143</v>
      </c>
      <c r="G132" s="7" t="s">
        <v>144</v>
      </c>
      <c r="H132" s="7" t="s">
        <v>97</v>
      </c>
      <c r="I132" s="7" t="s">
        <v>98</v>
      </c>
      <c r="J132" s="8" t="n">
        <v>45441</v>
      </c>
      <c r="K132" s="8" t="n">
        <v>45527</v>
      </c>
      <c r="L132" s="9" t="n">
        <f aca="false">K132-J132</f>
        <v>86</v>
      </c>
      <c r="M132" s="10" t="n">
        <v>228895.83</v>
      </c>
      <c r="N132" s="7" t="s">
        <v>131</v>
      </c>
      <c r="O132" s="7"/>
      <c r="P132" s="8" t="n">
        <v>45539</v>
      </c>
      <c r="Q132" s="7" t="n">
        <v>7</v>
      </c>
      <c r="R132" s="8" t="n">
        <f aca="false">EDATE(P132,Q132)</f>
        <v>45751</v>
      </c>
    </row>
    <row r="133" customFormat="false" ht="15" hidden="false" customHeight="false" outlineLevel="0" collapsed="false">
      <c r="A133" s="7" t="s">
        <v>476</v>
      </c>
      <c r="B133" s="7" t="s">
        <v>291</v>
      </c>
      <c r="C133" s="7" t="s">
        <v>292</v>
      </c>
      <c r="D133" s="7" t="s">
        <v>201</v>
      </c>
      <c r="E133" s="7" t="s">
        <v>94</v>
      </c>
      <c r="F133" s="7" t="s">
        <v>128</v>
      </c>
      <c r="G133" s="7" t="s">
        <v>107</v>
      </c>
      <c r="H133" s="7" t="s">
        <v>258</v>
      </c>
      <c r="I133" s="7" t="s">
        <v>259</v>
      </c>
      <c r="J133" s="8" t="n">
        <v>45434</v>
      </c>
      <c r="K133" s="8" t="n">
        <v>45529</v>
      </c>
      <c r="L133" s="9" t="n">
        <f aca="false">K133-J133</f>
        <v>95</v>
      </c>
      <c r="M133" s="10" t="n">
        <v>46362.42</v>
      </c>
      <c r="N133" s="7" t="s">
        <v>99</v>
      </c>
      <c r="O133" s="7" t="s">
        <v>219</v>
      </c>
      <c r="P133" s="7"/>
      <c r="Q133" s="7"/>
      <c r="R133" s="7"/>
    </row>
    <row r="134" customFormat="false" ht="15" hidden="false" customHeight="false" outlineLevel="0" collapsed="false">
      <c r="A134" s="7" t="s">
        <v>477</v>
      </c>
      <c r="B134" s="7" t="s">
        <v>343</v>
      </c>
      <c r="C134" s="7" t="s">
        <v>344</v>
      </c>
      <c r="D134" s="7" t="s">
        <v>93</v>
      </c>
      <c r="E134" s="7" t="s">
        <v>94</v>
      </c>
      <c r="F134" s="7" t="s">
        <v>183</v>
      </c>
      <c r="G134" s="7" t="s">
        <v>96</v>
      </c>
      <c r="H134" s="7" t="s">
        <v>129</v>
      </c>
      <c r="I134" s="7" t="s">
        <v>130</v>
      </c>
      <c r="J134" s="8" t="n">
        <v>45461</v>
      </c>
      <c r="K134" s="8" t="n">
        <v>45530</v>
      </c>
      <c r="L134" s="9" t="n">
        <f aca="false">K134-J134</f>
        <v>69</v>
      </c>
      <c r="M134" s="10" t="n">
        <v>51886.22</v>
      </c>
      <c r="N134" s="7" t="s">
        <v>99</v>
      </c>
      <c r="O134" s="7" t="s">
        <v>124</v>
      </c>
      <c r="P134" s="7"/>
      <c r="Q134" s="7"/>
      <c r="R134" s="7"/>
    </row>
    <row r="135" customFormat="false" ht="15" hidden="false" customHeight="false" outlineLevel="0" collapsed="false">
      <c r="A135" s="7" t="s">
        <v>478</v>
      </c>
      <c r="B135" s="7" t="s">
        <v>226</v>
      </c>
      <c r="C135" s="7" t="s">
        <v>227</v>
      </c>
      <c r="D135" s="7" t="s">
        <v>93</v>
      </c>
      <c r="E135" s="7" t="s">
        <v>105</v>
      </c>
      <c r="F135" s="7" t="s">
        <v>183</v>
      </c>
      <c r="G135" s="7" t="s">
        <v>96</v>
      </c>
      <c r="H135" s="7" t="s">
        <v>223</v>
      </c>
      <c r="I135" s="7" t="s">
        <v>224</v>
      </c>
      <c r="J135" s="8" t="n">
        <v>45462</v>
      </c>
      <c r="K135" s="8" t="n">
        <v>45530</v>
      </c>
      <c r="L135" s="9" t="n">
        <f aca="false">K135-J135</f>
        <v>68</v>
      </c>
      <c r="M135" s="10" t="n">
        <v>93253.72</v>
      </c>
      <c r="N135" s="7" t="s">
        <v>131</v>
      </c>
      <c r="O135" s="7"/>
      <c r="P135" s="8" t="n">
        <v>45544</v>
      </c>
      <c r="Q135" s="7" t="n">
        <v>2</v>
      </c>
      <c r="R135" s="8" t="n">
        <f aca="false">EDATE(P135,Q135)</f>
        <v>45605</v>
      </c>
    </row>
    <row r="136" customFormat="false" ht="15" hidden="false" customHeight="false" outlineLevel="0" collapsed="false">
      <c r="A136" s="7" t="s">
        <v>479</v>
      </c>
      <c r="B136" s="7" t="s">
        <v>375</v>
      </c>
      <c r="C136" s="7" t="s">
        <v>376</v>
      </c>
      <c r="D136" s="7" t="s">
        <v>201</v>
      </c>
      <c r="E136" s="7" t="s">
        <v>115</v>
      </c>
      <c r="F136" s="7" t="s">
        <v>143</v>
      </c>
      <c r="G136" s="7" t="s">
        <v>184</v>
      </c>
      <c r="H136" s="7" t="s">
        <v>281</v>
      </c>
      <c r="I136" s="7" t="s">
        <v>282</v>
      </c>
      <c r="J136" s="8" t="n">
        <v>45451</v>
      </c>
      <c r="K136" s="8" t="n">
        <v>45531</v>
      </c>
      <c r="L136" s="9" t="n">
        <f aca="false">K136-J136</f>
        <v>80</v>
      </c>
      <c r="M136" s="10" t="n">
        <v>190533.37</v>
      </c>
      <c r="N136" s="7" t="s">
        <v>131</v>
      </c>
      <c r="O136" s="7"/>
      <c r="P136" s="8" t="n">
        <v>45552</v>
      </c>
      <c r="Q136" s="7" t="n">
        <v>7</v>
      </c>
      <c r="R136" s="8" t="n">
        <f aca="false">EDATE(P136,Q136)</f>
        <v>45764</v>
      </c>
    </row>
    <row r="137" customFormat="false" ht="15" hidden="false" customHeight="false" outlineLevel="0" collapsed="false">
      <c r="A137" s="7" t="s">
        <v>480</v>
      </c>
      <c r="B137" s="7" t="s">
        <v>481</v>
      </c>
      <c r="C137" s="7" t="s">
        <v>482</v>
      </c>
      <c r="D137" s="7" t="s">
        <v>114</v>
      </c>
      <c r="E137" s="7" t="s">
        <v>162</v>
      </c>
      <c r="F137" s="7" t="s">
        <v>136</v>
      </c>
      <c r="G137" s="7" t="s">
        <v>184</v>
      </c>
      <c r="H137" s="7" t="s">
        <v>196</v>
      </c>
      <c r="I137" s="7" t="s">
        <v>197</v>
      </c>
      <c r="J137" s="8" t="n">
        <v>45450</v>
      </c>
      <c r="K137" s="8" t="n">
        <v>45532</v>
      </c>
      <c r="L137" s="9" t="n">
        <f aca="false">K137-J137</f>
        <v>82</v>
      </c>
      <c r="M137" s="10" t="n">
        <v>170070.98</v>
      </c>
      <c r="N137" s="7" t="s">
        <v>99</v>
      </c>
      <c r="O137" s="7" t="s">
        <v>110</v>
      </c>
      <c r="P137" s="7"/>
      <c r="Q137" s="7"/>
      <c r="R137" s="7"/>
    </row>
    <row r="138" customFormat="false" ht="15" hidden="false" customHeight="false" outlineLevel="0" collapsed="false">
      <c r="A138" s="7" t="s">
        <v>483</v>
      </c>
      <c r="B138" s="7" t="s">
        <v>303</v>
      </c>
      <c r="C138" s="7" t="s">
        <v>304</v>
      </c>
      <c r="D138" s="7" t="s">
        <v>93</v>
      </c>
      <c r="E138" s="7" t="s">
        <v>115</v>
      </c>
      <c r="F138" s="7" t="s">
        <v>143</v>
      </c>
      <c r="G138" s="7" t="s">
        <v>184</v>
      </c>
      <c r="H138" s="7" t="s">
        <v>171</v>
      </c>
      <c r="I138" s="7" t="s">
        <v>172</v>
      </c>
      <c r="J138" s="8" t="n">
        <v>45435</v>
      </c>
      <c r="K138" s="8" t="n">
        <v>45534</v>
      </c>
      <c r="L138" s="9" t="n">
        <f aca="false">K138-J138</f>
        <v>99</v>
      </c>
      <c r="M138" s="10" t="n">
        <v>134742.77</v>
      </c>
      <c r="N138" s="7" t="s">
        <v>131</v>
      </c>
      <c r="O138" s="7"/>
      <c r="P138" s="8" t="n">
        <v>45543</v>
      </c>
      <c r="Q138" s="7" t="n">
        <v>9</v>
      </c>
      <c r="R138" s="8" t="n">
        <f aca="false">EDATE(P138,Q138)</f>
        <v>45816</v>
      </c>
    </row>
    <row r="139" customFormat="false" ht="15" hidden="false" customHeight="false" outlineLevel="0" collapsed="false">
      <c r="A139" s="7" t="s">
        <v>484</v>
      </c>
      <c r="B139" s="7" t="s">
        <v>485</v>
      </c>
      <c r="C139" s="7" t="s">
        <v>486</v>
      </c>
      <c r="D139" s="7" t="s">
        <v>151</v>
      </c>
      <c r="E139" s="7" t="s">
        <v>94</v>
      </c>
      <c r="F139" s="7" t="s">
        <v>143</v>
      </c>
      <c r="G139" s="7" t="s">
        <v>137</v>
      </c>
      <c r="H139" s="7" t="s">
        <v>270</v>
      </c>
      <c r="I139" s="7" t="s">
        <v>271</v>
      </c>
      <c r="J139" s="8" t="n">
        <v>45482</v>
      </c>
      <c r="K139" s="8" t="n">
        <v>45534</v>
      </c>
      <c r="L139" s="9" t="n">
        <f aca="false">K139-J139</f>
        <v>52</v>
      </c>
      <c r="M139" s="10" t="n">
        <v>72156.47</v>
      </c>
      <c r="N139" s="7" t="s">
        <v>99</v>
      </c>
      <c r="O139" s="7" t="s">
        <v>147</v>
      </c>
      <c r="P139" s="7"/>
      <c r="Q139" s="7"/>
      <c r="R139" s="7"/>
    </row>
    <row r="140" customFormat="false" ht="15" hidden="false" customHeight="false" outlineLevel="0" collapsed="false">
      <c r="A140" s="7" t="s">
        <v>487</v>
      </c>
      <c r="B140" s="7" t="s">
        <v>409</v>
      </c>
      <c r="C140" s="7" t="s">
        <v>410</v>
      </c>
      <c r="D140" s="7" t="s">
        <v>114</v>
      </c>
      <c r="E140" s="7" t="s">
        <v>94</v>
      </c>
      <c r="F140" s="7" t="s">
        <v>136</v>
      </c>
      <c r="G140" s="7" t="s">
        <v>184</v>
      </c>
      <c r="H140" s="7" t="s">
        <v>196</v>
      </c>
      <c r="I140" s="7" t="s">
        <v>197</v>
      </c>
      <c r="J140" s="8" t="n">
        <v>45427</v>
      </c>
      <c r="K140" s="8" t="n">
        <v>45537</v>
      </c>
      <c r="L140" s="9" t="n">
        <f aca="false">K140-J140</f>
        <v>110</v>
      </c>
      <c r="M140" s="10" t="n">
        <v>269657.53</v>
      </c>
      <c r="N140" s="7" t="s">
        <v>99</v>
      </c>
      <c r="O140" s="7" t="s">
        <v>110</v>
      </c>
      <c r="P140" s="7"/>
      <c r="Q140" s="7"/>
      <c r="R140" s="7"/>
    </row>
    <row r="141" customFormat="false" ht="15" hidden="false" customHeight="false" outlineLevel="0" collapsed="false">
      <c r="A141" s="7" t="s">
        <v>488</v>
      </c>
      <c r="B141" s="7" t="s">
        <v>443</v>
      </c>
      <c r="C141" s="7" t="s">
        <v>444</v>
      </c>
      <c r="D141" s="7" t="s">
        <v>201</v>
      </c>
      <c r="E141" s="7" t="s">
        <v>105</v>
      </c>
      <c r="F141" s="7" t="s">
        <v>128</v>
      </c>
      <c r="G141" s="7" t="s">
        <v>96</v>
      </c>
      <c r="H141" s="7" t="s">
        <v>223</v>
      </c>
      <c r="I141" s="7" t="s">
        <v>224</v>
      </c>
      <c r="J141" s="8" t="n">
        <v>45458</v>
      </c>
      <c r="K141" s="8" t="n">
        <v>45537</v>
      </c>
      <c r="L141" s="9" t="n">
        <f aca="false">K141-J141</f>
        <v>79</v>
      </c>
      <c r="M141" s="10" t="n">
        <v>128858.4</v>
      </c>
      <c r="N141" s="7" t="s">
        <v>99</v>
      </c>
      <c r="O141" s="7" t="s">
        <v>219</v>
      </c>
      <c r="P141" s="7"/>
      <c r="Q141" s="7"/>
      <c r="R141" s="7"/>
    </row>
    <row r="142" customFormat="false" ht="15" hidden="false" customHeight="false" outlineLevel="0" collapsed="false">
      <c r="A142" s="7" t="s">
        <v>489</v>
      </c>
      <c r="B142" s="7" t="s">
        <v>490</v>
      </c>
      <c r="C142" s="7" t="s">
        <v>491</v>
      </c>
      <c r="D142" s="7" t="s">
        <v>195</v>
      </c>
      <c r="E142" s="7" t="s">
        <v>162</v>
      </c>
      <c r="F142" s="7" t="s">
        <v>128</v>
      </c>
      <c r="G142" s="7" t="s">
        <v>117</v>
      </c>
      <c r="H142" s="7" t="s">
        <v>185</v>
      </c>
      <c r="I142" s="7" t="s">
        <v>186</v>
      </c>
      <c r="J142" s="8" t="n">
        <v>45461</v>
      </c>
      <c r="K142" s="8" t="n">
        <v>45540</v>
      </c>
      <c r="L142" s="9" t="n">
        <f aca="false">K142-J142</f>
        <v>79</v>
      </c>
      <c r="M142" s="10" t="n">
        <v>50090.45</v>
      </c>
      <c r="N142" s="7" t="s">
        <v>99</v>
      </c>
      <c r="O142" s="7" t="s">
        <v>219</v>
      </c>
      <c r="P142" s="7"/>
      <c r="Q142" s="7"/>
      <c r="R142" s="7"/>
    </row>
    <row r="143" customFormat="false" ht="15" hidden="false" customHeight="false" outlineLevel="0" collapsed="false">
      <c r="A143" s="7" t="s">
        <v>492</v>
      </c>
      <c r="B143" s="7" t="s">
        <v>297</v>
      </c>
      <c r="C143" s="7" t="s">
        <v>298</v>
      </c>
      <c r="D143" s="7" t="s">
        <v>201</v>
      </c>
      <c r="E143" s="7" t="s">
        <v>162</v>
      </c>
      <c r="F143" s="7" t="s">
        <v>143</v>
      </c>
      <c r="G143" s="7" t="s">
        <v>117</v>
      </c>
      <c r="H143" s="7" t="s">
        <v>258</v>
      </c>
      <c r="I143" s="7" t="s">
        <v>259</v>
      </c>
      <c r="J143" s="8" t="n">
        <v>45464</v>
      </c>
      <c r="K143" s="8" t="n">
        <v>45542</v>
      </c>
      <c r="L143" s="9" t="n">
        <f aca="false">K143-J143</f>
        <v>78</v>
      </c>
      <c r="M143" s="10" t="n">
        <v>77569.63</v>
      </c>
      <c r="N143" s="7" t="s">
        <v>99</v>
      </c>
      <c r="O143" s="7" t="s">
        <v>147</v>
      </c>
      <c r="P143" s="7"/>
      <c r="Q143" s="7"/>
      <c r="R143" s="7"/>
    </row>
    <row r="144" customFormat="false" ht="15" hidden="false" customHeight="false" outlineLevel="0" collapsed="false">
      <c r="A144" s="7" t="s">
        <v>493</v>
      </c>
      <c r="B144" s="7" t="s">
        <v>141</v>
      </c>
      <c r="C144" s="7" t="s">
        <v>142</v>
      </c>
      <c r="D144" s="7" t="s">
        <v>104</v>
      </c>
      <c r="E144" s="7" t="s">
        <v>105</v>
      </c>
      <c r="F144" s="7" t="s">
        <v>116</v>
      </c>
      <c r="G144" s="7" t="s">
        <v>96</v>
      </c>
      <c r="H144" s="7" t="s">
        <v>108</v>
      </c>
      <c r="I144" s="7" t="s">
        <v>109</v>
      </c>
      <c r="J144" s="8" t="n">
        <v>45447</v>
      </c>
      <c r="K144" s="8" t="n">
        <v>45543</v>
      </c>
      <c r="L144" s="9" t="n">
        <f aca="false">K144-J144</f>
        <v>96</v>
      </c>
      <c r="M144" s="10" t="n">
        <v>137374.54</v>
      </c>
      <c r="N144" s="7" t="s">
        <v>131</v>
      </c>
      <c r="O144" s="7"/>
      <c r="P144" s="8" t="n">
        <v>45544</v>
      </c>
      <c r="Q144" s="7" t="n">
        <v>8</v>
      </c>
      <c r="R144" s="8" t="n">
        <f aca="false">EDATE(P144,Q144)</f>
        <v>45786</v>
      </c>
    </row>
    <row r="145" customFormat="false" ht="15" hidden="false" customHeight="false" outlineLevel="0" collapsed="false">
      <c r="A145" s="7" t="s">
        <v>494</v>
      </c>
      <c r="B145" s="7" t="s">
        <v>240</v>
      </c>
      <c r="C145" s="7" t="s">
        <v>241</v>
      </c>
      <c r="D145" s="7" t="s">
        <v>242</v>
      </c>
      <c r="E145" s="7" t="s">
        <v>105</v>
      </c>
      <c r="F145" s="7" t="s">
        <v>136</v>
      </c>
      <c r="G145" s="7" t="s">
        <v>176</v>
      </c>
      <c r="H145" s="7" t="s">
        <v>278</v>
      </c>
      <c r="I145" s="7" t="s">
        <v>279</v>
      </c>
      <c r="J145" s="8" t="n">
        <v>45442</v>
      </c>
      <c r="K145" s="8" t="n">
        <v>45545</v>
      </c>
      <c r="L145" s="9" t="n">
        <f aca="false">K145-J145</f>
        <v>103</v>
      </c>
      <c r="M145" s="10" t="n">
        <v>130826.5</v>
      </c>
      <c r="N145" s="7" t="s">
        <v>131</v>
      </c>
      <c r="O145" s="7"/>
      <c r="P145" s="8" t="n">
        <v>45546</v>
      </c>
      <c r="Q145" s="7" t="n">
        <v>4</v>
      </c>
      <c r="R145" s="8" t="n">
        <f aca="false">EDATE(P145,Q145)</f>
        <v>45668</v>
      </c>
    </row>
    <row r="146" customFormat="false" ht="15" hidden="false" customHeight="false" outlineLevel="0" collapsed="false">
      <c r="A146" s="7" t="s">
        <v>495</v>
      </c>
      <c r="B146" s="7" t="s">
        <v>318</v>
      </c>
      <c r="C146" s="7" t="s">
        <v>319</v>
      </c>
      <c r="D146" s="7" t="s">
        <v>114</v>
      </c>
      <c r="E146" s="7" t="s">
        <v>94</v>
      </c>
      <c r="F146" s="7" t="s">
        <v>157</v>
      </c>
      <c r="G146" s="7" t="s">
        <v>176</v>
      </c>
      <c r="H146" s="7" t="s">
        <v>305</v>
      </c>
      <c r="I146" s="7" t="s">
        <v>306</v>
      </c>
      <c r="J146" s="8" t="n">
        <v>45412</v>
      </c>
      <c r="K146" s="8" t="n">
        <v>45545</v>
      </c>
      <c r="L146" s="9" t="n">
        <f aca="false">K146-J146</f>
        <v>133</v>
      </c>
      <c r="M146" s="10" t="n">
        <v>265575.64</v>
      </c>
      <c r="N146" s="7" t="s">
        <v>99</v>
      </c>
      <c r="O146" s="7" t="s">
        <v>110</v>
      </c>
      <c r="P146" s="7"/>
      <c r="Q146" s="7"/>
      <c r="R146" s="7"/>
    </row>
    <row r="147" customFormat="false" ht="15" hidden="false" customHeight="false" outlineLevel="0" collapsed="false">
      <c r="A147" s="7" t="s">
        <v>496</v>
      </c>
      <c r="B147" s="7" t="s">
        <v>497</v>
      </c>
      <c r="C147" s="7" t="s">
        <v>498</v>
      </c>
      <c r="D147" s="7" t="s">
        <v>135</v>
      </c>
      <c r="E147" s="7" t="s">
        <v>162</v>
      </c>
      <c r="F147" s="7" t="s">
        <v>183</v>
      </c>
      <c r="G147" s="7" t="s">
        <v>144</v>
      </c>
      <c r="H147" s="7" t="s">
        <v>305</v>
      </c>
      <c r="I147" s="7" t="s">
        <v>306</v>
      </c>
      <c r="J147" s="8" t="n">
        <v>45454</v>
      </c>
      <c r="K147" s="8" t="n">
        <v>45546</v>
      </c>
      <c r="L147" s="9" t="n">
        <f aca="false">K147-J147</f>
        <v>92</v>
      </c>
      <c r="M147" s="10" t="n">
        <v>76877.77</v>
      </c>
      <c r="N147" s="7" t="s">
        <v>99</v>
      </c>
      <c r="O147" s="7" t="s">
        <v>110</v>
      </c>
      <c r="P147" s="7"/>
      <c r="Q147" s="7"/>
      <c r="R147" s="7"/>
    </row>
    <row r="148" customFormat="false" ht="15" hidden="false" customHeight="false" outlineLevel="0" collapsed="false">
      <c r="A148" s="7" t="s">
        <v>499</v>
      </c>
      <c r="B148" s="7" t="s">
        <v>443</v>
      </c>
      <c r="C148" s="7" t="s">
        <v>444</v>
      </c>
      <c r="D148" s="7" t="s">
        <v>201</v>
      </c>
      <c r="E148" s="7" t="s">
        <v>105</v>
      </c>
      <c r="F148" s="7" t="s">
        <v>143</v>
      </c>
      <c r="G148" s="7" t="s">
        <v>144</v>
      </c>
      <c r="H148" s="7" t="s">
        <v>185</v>
      </c>
      <c r="I148" s="7" t="s">
        <v>186</v>
      </c>
      <c r="J148" s="8" t="n">
        <v>45499</v>
      </c>
      <c r="K148" s="8" t="n">
        <v>45546</v>
      </c>
      <c r="L148" s="9" t="n">
        <f aca="false">K148-J148</f>
        <v>47</v>
      </c>
      <c r="M148" s="10" t="n">
        <v>60168.77</v>
      </c>
      <c r="N148" s="7" t="s">
        <v>99</v>
      </c>
      <c r="O148" s="7" t="s">
        <v>219</v>
      </c>
      <c r="P148" s="7"/>
      <c r="Q148" s="7"/>
      <c r="R148" s="7"/>
    </row>
    <row r="149" customFormat="false" ht="15" hidden="false" customHeight="false" outlineLevel="0" collapsed="false">
      <c r="A149" s="7" t="s">
        <v>500</v>
      </c>
      <c r="B149" s="7" t="s">
        <v>501</v>
      </c>
      <c r="C149" s="7" t="s">
        <v>502</v>
      </c>
      <c r="D149" s="7" t="s">
        <v>135</v>
      </c>
      <c r="E149" s="7" t="s">
        <v>115</v>
      </c>
      <c r="F149" s="7" t="s">
        <v>136</v>
      </c>
      <c r="G149" s="7" t="s">
        <v>96</v>
      </c>
      <c r="H149" s="7" t="s">
        <v>281</v>
      </c>
      <c r="I149" s="7" t="s">
        <v>282</v>
      </c>
      <c r="J149" s="8" t="n">
        <v>45432</v>
      </c>
      <c r="K149" s="8" t="n">
        <v>45547</v>
      </c>
      <c r="L149" s="9" t="n">
        <f aca="false">K149-J149</f>
        <v>115</v>
      </c>
      <c r="M149" s="10" t="n">
        <v>128013.47</v>
      </c>
      <c r="N149" s="7" t="s">
        <v>99</v>
      </c>
      <c r="O149" s="7" t="s">
        <v>124</v>
      </c>
      <c r="P149" s="7"/>
      <c r="Q149" s="7"/>
      <c r="R149" s="7"/>
    </row>
    <row r="150" customFormat="false" ht="15" hidden="false" customHeight="false" outlineLevel="0" collapsed="false">
      <c r="A150" s="7" t="s">
        <v>503</v>
      </c>
      <c r="B150" s="7" t="s">
        <v>504</v>
      </c>
      <c r="C150" s="7" t="s">
        <v>505</v>
      </c>
      <c r="D150" s="7" t="s">
        <v>195</v>
      </c>
      <c r="E150" s="7" t="s">
        <v>105</v>
      </c>
      <c r="F150" s="7" t="s">
        <v>183</v>
      </c>
      <c r="G150" s="7" t="s">
        <v>137</v>
      </c>
      <c r="H150" s="7" t="s">
        <v>185</v>
      </c>
      <c r="I150" s="7" t="s">
        <v>186</v>
      </c>
      <c r="J150" s="8" t="n">
        <v>45448</v>
      </c>
      <c r="K150" s="8" t="n">
        <v>45548</v>
      </c>
      <c r="L150" s="9" t="n">
        <f aca="false">K150-J150</f>
        <v>100</v>
      </c>
      <c r="M150" s="10" t="n">
        <v>172328.76</v>
      </c>
      <c r="N150" s="7" t="s">
        <v>131</v>
      </c>
      <c r="O150" s="7"/>
      <c r="P150" s="8" t="n">
        <v>45559</v>
      </c>
      <c r="Q150" s="7" t="n">
        <v>1</v>
      </c>
      <c r="R150" s="8" t="n">
        <f aca="false">EDATE(P150,Q150)</f>
        <v>45589</v>
      </c>
    </row>
    <row r="151" customFormat="false" ht="15" hidden="false" customHeight="false" outlineLevel="0" collapsed="false">
      <c r="A151" s="7" t="s">
        <v>506</v>
      </c>
      <c r="B151" s="7" t="s">
        <v>457</v>
      </c>
      <c r="C151" s="7" t="s">
        <v>458</v>
      </c>
      <c r="D151" s="7" t="s">
        <v>242</v>
      </c>
      <c r="E151" s="7" t="s">
        <v>94</v>
      </c>
      <c r="F151" s="7" t="s">
        <v>116</v>
      </c>
      <c r="G151" s="7" t="s">
        <v>117</v>
      </c>
      <c r="H151" s="7" t="s">
        <v>180</v>
      </c>
      <c r="I151" s="7" t="s">
        <v>181</v>
      </c>
      <c r="J151" s="8" t="n">
        <v>45462</v>
      </c>
      <c r="K151" s="8" t="n">
        <v>45549</v>
      </c>
      <c r="L151" s="9" t="n">
        <f aca="false">K151-J151</f>
        <v>87</v>
      </c>
      <c r="M151" s="10" t="n">
        <v>138409.14</v>
      </c>
      <c r="N151" s="7" t="s">
        <v>99</v>
      </c>
      <c r="O151" s="7" t="s">
        <v>147</v>
      </c>
      <c r="P151" s="7"/>
      <c r="Q151" s="7"/>
      <c r="R151" s="7"/>
    </row>
    <row r="152" customFormat="false" ht="15" hidden="false" customHeight="false" outlineLevel="0" collapsed="false">
      <c r="A152" s="7" t="s">
        <v>507</v>
      </c>
      <c r="B152" s="7" t="s">
        <v>284</v>
      </c>
      <c r="C152" s="7" t="s">
        <v>285</v>
      </c>
      <c r="D152" s="7" t="s">
        <v>201</v>
      </c>
      <c r="E152" s="7" t="s">
        <v>105</v>
      </c>
      <c r="F152" s="7" t="s">
        <v>106</v>
      </c>
      <c r="G152" s="7" t="s">
        <v>144</v>
      </c>
      <c r="H152" s="7" t="s">
        <v>122</v>
      </c>
      <c r="I152" s="7" t="s">
        <v>123</v>
      </c>
      <c r="J152" s="8" t="n">
        <v>45473</v>
      </c>
      <c r="K152" s="8" t="n">
        <v>45551</v>
      </c>
      <c r="L152" s="9" t="n">
        <f aca="false">K152-J152</f>
        <v>78</v>
      </c>
      <c r="M152" s="10" t="n">
        <v>50701.27</v>
      </c>
      <c r="N152" s="7" t="s">
        <v>131</v>
      </c>
      <c r="O152" s="7"/>
      <c r="P152" s="8" t="n">
        <v>45563</v>
      </c>
      <c r="Q152" s="7" t="n">
        <v>3</v>
      </c>
      <c r="R152" s="8" t="n">
        <f aca="false">EDATE(P152,Q152)</f>
        <v>45654</v>
      </c>
    </row>
    <row r="153" customFormat="false" ht="15" hidden="false" customHeight="false" outlineLevel="0" collapsed="false">
      <c r="A153" s="7" t="s">
        <v>508</v>
      </c>
      <c r="B153" s="7" t="s">
        <v>509</v>
      </c>
      <c r="C153" s="7" t="s">
        <v>510</v>
      </c>
      <c r="D153" s="7" t="s">
        <v>104</v>
      </c>
      <c r="E153" s="7" t="s">
        <v>162</v>
      </c>
      <c r="F153" s="7" t="s">
        <v>128</v>
      </c>
      <c r="G153" s="7" t="s">
        <v>176</v>
      </c>
      <c r="H153" s="7" t="s">
        <v>166</v>
      </c>
      <c r="I153" s="7" t="s">
        <v>167</v>
      </c>
      <c r="J153" s="8" t="n">
        <v>45455</v>
      </c>
      <c r="K153" s="8" t="n">
        <v>45551</v>
      </c>
      <c r="L153" s="9" t="n">
        <f aca="false">K153-J153</f>
        <v>96</v>
      </c>
      <c r="M153" s="10" t="n">
        <v>57359.26</v>
      </c>
      <c r="N153" s="7" t="s">
        <v>99</v>
      </c>
      <c r="O153" s="7" t="s">
        <v>147</v>
      </c>
      <c r="P153" s="7"/>
      <c r="Q153" s="7"/>
      <c r="R153" s="7"/>
    </row>
    <row r="154" customFormat="false" ht="15" hidden="false" customHeight="false" outlineLevel="0" collapsed="false">
      <c r="A154" s="7" t="s">
        <v>511</v>
      </c>
      <c r="B154" s="7" t="s">
        <v>512</v>
      </c>
      <c r="C154" s="7" t="s">
        <v>513</v>
      </c>
      <c r="D154" s="7" t="s">
        <v>114</v>
      </c>
      <c r="E154" s="7" t="s">
        <v>115</v>
      </c>
      <c r="F154" s="7" t="s">
        <v>116</v>
      </c>
      <c r="G154" s="7" t="s">
        <v>184</v>
      </c>
      <c r="H154" s="7" t="s">
        <v>258</v>
      </c>
      <c r="I154" s="7" t="s">
        <v>259</v>
      </c>
      <c r="J154" s="8" t="n">
        <v>45462</v>
      </c>
      <c r="K154" s="8" t="n">
        <v>45552</v>
      </c>
      <c r="L154" s="9" t="n">
        <f aca="false">K154-J154</f>
        <v>90</v>
      </c>
      <c r="M154" s="10" t="n">
        <v>125191.93</v>
      </c>
      <c r="N154" s="7" t="s">
        <v>99</v>
      </c>
      <c r="O154" s="7" t="s">
        <v>124</v>
      </c>
      <c r="P154" s="7"/>
      <c r="Q154" s="7"/>
      <c r="R154" s="7"/>
    </row>
    <row r="155" customFormat="false" ht="15" hidden="false" customHeight="false" outlineLevel="0" collapsed="false">
      <c r="A155" s="7" t="s">
        <v>514</v>
      </c>
      <c r="B155" s="7" t="s">
        <v>457</v>
      </c>
      <c r="C155" s="7" t="s">
        <v>458</v>
      </c>
      <c r="D155" s="7" t="s">
        <v>242</v>
      </c>
      <c r="E155" s="7" t="s">
        <v>94</v>
      </c>
      <c r="F155" s="7" t="s">
        <v>136</v>
      </c>
      <c r="G155" s="7" t="s">
        <v>107</v>
      </c>
      <c r="H155" s="7" t="s">
        <v>138</v>
      </c>
      <c r="I155" s="7" t="s">
        <v>139</v>
      </c>
      <c r="J155" s="8" t="n">
        <v>45464</v>
      </c>
      <c r="K155" s="8" t="n">
        <v>45553</v>
      </c>
      <c r="L155" s="9" t="n">
        <f aca="false">K155-J155</f>
        <v>89</v>
      </c>
      <c r="M155" s="10" t="n">
        <v>166373.53</v>
      </c>
      <c r="N155" s="7" t="s">
        <v>99</v>
      </c>
      <c r="O155" s="7" t="s">
        <v>118</v>
      </c>
      <c r="P155" s="7"/>
      <c r="Q155" s="7"/>
      <c r="R155" s="7"/>
    </row>
    <row r="156" customFormat="false" ht="15" hidden="false" customHeight="false" outlineLevel="0" collapsed="false">
      <c r="A156" s="7" t="s">
        <v>515</v>
      </c>
      <c r="B156" s="7" t="s">
        <v>250</v>
      </c>
      <c r="C156" s="7" t="s">
        <v>251</v>
      </c>
      <c r="D156" s="7" t="s">
        <v>195</v>
      </c>
      <c r="E156" s="7" t="s">
        <v>105</v>
      </c>
      <c r="F156" s="7" t="s">
        <v>116</v>
      </c>
      <c r="G156" s="7" t="s">
        <v>184</v>
      </c>
      <c r="H156" s="7" t="s">
        <v>223</v>
      </c>
      <c r="I156" s="7" t="s">
        <v>224</v>
      </c>
      <c r="J156" s="8" t="n">
        <v>45454</v>
      </c>
      <c r="K156" s="8" t="n">
        <v>45554</v>
      </c>
      <c r="L156" s="9" t="n">
        <f aca="false">K156-J156</f>
        <v>100</v>
      </c>
      <c r="M156" s="10" t="n">
        <v>248224.27</v>
      </c>
      <c r="N156" s="7" t="s">
        <v>99</v>
      </c>
      <c r="O156" s="7" t="s">
        <v>110</v>
      </c>
      <c r="P156" s="7"/>
      <c r="Q156" s="7"/>
      <c r="R156" s="7"/>
    </row>
    <row r="157" customFormat="false" ht="15" hidden="false" customHeight="false" outlineLevel="0" collapsed="false">
      <c r="A157" s="7" t="s">
        <v>516</v>
      </c>
      <c r="B157" s="7" t="s">
        <v>517</v>
      </c>
      <c r="C157" s="7" t="s">
        <v>518</v>
      </c>
      <c r="D157" s="7" t="s">
        <v>151</v>
      </c>
      <c r="E157" s="7" t="s">
        <v>115</v>
      </c>
      <c r="F157" s="7" t="s">
        <v>157</v>
      </c>
      <c r="G157" s="7" t="s">
        <v>107</v>
      </c>
      <c r="H157" s="7" t="s">
        <v>129</v>
      </c>
      <c r="I157" s="7" t="s">
        <v>130</v>
      </c>
      <c r="J157" s="8" t="n">
        <v>45484</v>
      </c>
      <c r="K157" s="8" t="n">
        <v>45557</v>
      </c>
      <c r="L157" s="9" t="n">
        <f aca="false">K157-J157</f>
        <v>73</v>
      </c>
      <c r="M157" s="10" t="n">
        <v>35837.83</v>
      </c>
      <c r="N157" s="7" t="s">
        <v>99</v>
      </c>
      <c r="O157" s="7" t="s">
        <v>219</v>
      </c>
      <c r="P157" s="7"/>
      <c r="Q157" s="7"/>
      <c r="R157" s="7"/>
    </row>
    <row r="158" customFormat="false" ht="15" hidden="false" customHeight="false" outlineLevel="0" collapsed="false">
      <c r="A158" s="7" t="s">
        <v>519</v>
      </c>
      <c r="B158" s="7" t="s">
        <v>512</v>
      </c>
      <c r="C158" s="7" t="s">
        <v>513</v>
      </c>
      <c r="D158" s="7" t="s">
        <v>114</v>
      </c>
      <c r="E158" s="7" t="s">
        <v>115</v>
      </c>
      <c r="F158" s="7" t="s">
        <v>183</v>
      </c>
      <c r="G158" s="7" t="s">
        <v>144</v>
      </c>
      <c r="H158" s="7" t="s">
        <v>152</v>
      </c>
      <c r="I158" s="7" t="s">
        <v>153</v>
      </c>
      <c r="J158" s="8" t="n">
        <v>45511</v>
      </c>
      <c r="K158" s="8" t="n">
        <v>45559</v>
      </c>
      <c r="L158" s="9" t="n">
        <f aca="false">K158-J158</f>
        <v>48</v>
      </c>
      <c r="M158" s="10" t="n">
        <v>80101.31</v>
      </c>
      <c r="N158" s="7" t="s">
        <v>99</v>
      </c>
      <c r="O158" s="7" t="s">
        <v>124</v>
      </c>
      <c r="P158" s="7"/>
      <c r="Q158" s="7"/>
      <c r="R158" s="7"/>
    </row>
    <row r="159" customFormat="false" ht="15" hidden="false" customHeight="false" outlineLevel="0" collapsed="false">
      <c r="A159" s="7" t="s">
        <v>520</v>
      </c>
      <c r="B159" s="7" t="s">
        <v>521</v>
      </c>
      <c r="C159" s="7" t="s">
        <v>522</v>
      </c>
      <c r="D159" s="7" t="s">
        <v>151</v>
      </c>
      <c r="E159" s="7" t="s">
        <v>115</v>
      </c>
      <c r="F159" s="7" t="s">
        <v>143</v>
      </c>
      <c r="G159" s="7" t="s">
        <v>107</v>
      </c>
      <c r="H159" s="7" t="s">
        <v>278</v>
      </c>
      <c r="I159" s="7" t="s">
        <v>279</v>
      </c>
      <c r="J159" s="8" t="n">
        <v>45460</v>
      </c>
      <c r="K159" s="8" t="n">
        <v>45560</v>
      </c>
      <c r="L159" s="9" t="n">
        <f aca="false">K159-J159</f>
        <v>100</v>
      </c>
      <c r="M159" s="10" t="n">
        <v>94981.51</v>
      </c>
      <c r="N159" s="7" t="s">
        <v>99</v>
      </c>
      <c r="O159" s="7" t="s">
        <v>124</v>
      </c>
      <c r="P159" s="7"/>
      <c r="Q159" s="7"/>
      <c r="R159" s="7"/>
    </row>
    <row r="160" customFormat="false" ht="15" hidden="false" customHeight="false" outlineLevel="0" collapsed="false">
      <c r="A160" s="7" t="s">
        <v>523</v>
      </c>
      <c r="B160" s="7" t="s">
        <v>512</v>
      </c>
      <c r="C160" s="7" t="s">
        <v>513</v>
      </c>
      <c r="D160" s="7" t="s">
        <v>114</v>
      </c>
      <c r="E160" s="7" t="s">
        <v>115</v>
      </c>
      <c r="F160" s="7" t="s">
        <v>106</v>
      </c>
      <c r="G160" s="7" t="s">
        <v>184</v>
      </c>
      <c r="H160" s="7" t="s">
        <v>145</v>
      </c>
      <c r="I160" s="7" t="s">
        <v>146</v>
      </c>
      <c r="J160" s="8" t="n">
        <v>45493</v>
      </c>
      <c r="K160" s="8" t="n">
        <v>45562</v>
      </c>
      <c r="L160" s="9" t="n">
        <f aca="false">K160-J160</f>
        <v>69</v>
      </c>
      <c r="M160" s="10" t="n">
        <v>70536.79</v>
      </c>
      <c r="N160" s="7" t="s">
        <v>131</v>
      </c>
      <c r="O160" s="7"/>
      <c r="P160" s="8" t="n">
        <v>45584</v>
      </c>
      <c r="Q160" s="7" t="n">
        <v>5</v>
      </c>
      <c r="R160" s="8" t="n">
        <f aca="false">EDATE(P160,Q160)</f>
        <v>45735</v>
      </c>
    </row>
    <row r="161" customFormat="false" ht="15" hidden="false" customHeight="false" outlineLevel="0" collapsed="false">
      <c r="A161" s="7" t="s">
        <v>524</v>
      </c>
      <c r="B161" s="7" t="s">
        <v>525</v>
      </c>
      <c r="C161" s="7" t="s">
        <v>526</v>
      </c>
      <c r="D161" s="7" t="s">
        <v>114</v>
      </c>
      <c r="E161" s="7" t="s">
        <v>105</v>
      </c>
      <c r="F161" s="7" t="s">
        <v>157</v>
      </c>
      <c r="G161" s="7" t="s">
        <v>96</v>
      </c>
      <c r="H161" s="7" t="s">
        <v>108</v>
      </c>
      <c r="I161" s="7" t="s">
        <v>109</v>
      </c>
      <c r="J161" s="8" t="n">
        <v>45484</v>
      </c>
      <c r="K161" s="8" t="n">
        <v>45564</v>
      </c>
      <c r="L161" s="9" t="n">
        <f aca="false">K161-J161</f>
        <v>80</v>
      </c>
      <c r="M161" s="10" t="n">
        <v>71033.1</v>
      </c>
      <c r="N161" s="7" t="s">
        <v>99</v>
      </c>
      <c r="O161" s="7" t="s">
        <v>110</v>
      </c>
      <c r="P161" s="7"/>
      <c r="Q161" s="7"/>
      <c r="R161" s="7"/>
    </row>
    <row r="162" customFormat="false" ht="15" hidden="false" customHeight="false" outlineLevel="0" collapsed="false">
      <c r="A162" s="7" t="s">
        <v>527</v>
      </c>
      <c r="B162" s="7" t="s">
        <v>318</v>
      </c>
      <c r="C162" s="7" t="s">
        <v>319</v>
      </c>
      <c r="D162" s="7" t="s">
        <v>114</v>
      </c>
      <c r="E162" s="7" t="s">
        <v>94</v>
      </c>
      <c r="F162" s="7" t="s">
        <v>183</v>
      </c>
      <c r="G162" s="7" t="s">
        <v>176</v>
      </c>
      <c r="H162" s="7" t="s">
        <v>185</v>
      </c>
      <c r="I162" s="7" t="s">
        <v>186</v>
      </c>
      <c r="J162" s="8" t="n">
        <v>45495</v>
      </c>
      <c r="K162" s="8" t="n">
        <v>45565</v>
      </c>
      <c r="L162" s="9" t="n">
        <f aca="false">K162-J162</f>
        <v>70</v>
      </c>
      <c r="M162" s="10" t="n">
        <v>48252.16</v>
      </c>
      <c r="N162" s="7" t="s">
        <v>131</v>
      </c>
      <c r="O162" s="7"/>
      <c r="P162" s="8" t="n">
        <v>45582</v>
      </c>
      <c r="Q162" s="7" t="n">
        <v>1</v>
      </c>
      <c r="R162" s="8" t="n">
        <f aca="false">EDATE(P162,Q162)</f>
        <v>45613</v>
      </c>
    </row>
    <row r="163" customFormat="false" ht="15" hidden="false" customHeight="false" outlineLevel="0" collapsed="false">
      <c r="A163" s="7" t="s">
        <v>528</v>
      </c>
      <c r="B163" s="7" t="s">
        <v>529</v>
      </c>
      <c r="C163" s="7" t="s">
        <v>530</v>
      </c>
      <c r="D163" s="7" t="s">
        <v>195</v>
      </c>
      <c r="E163" s="7" t="s">
        <v>115</v>
      </c>
      <c r="F163" s="7" t="s">
        <v>143</v>
      </c>
      <c r="G163" s="7" t="s">
        <v>137</v>
      </c>
      <c r="H163" s="7" t="s">
        <v>223</v>
      </c>
      <c r="I163" s="7" t="s">
        <v>224</v>
      </c>
      <c r="J163" s="8" t="n">
        <v>45437</v>
      </c>
      <c r="K163" s="8" t="n">
        <v>45565</v>
      </c>
      <c r="L163" s="9" t="n">
        <f aca="false">K163-J163</f>
        <v>128</v>
      </c>
      <c r="M163" s="10" t="n">
        <v>271072.59</v>
      </c>
      <c r="N163" s="7" t="s">
        <v>99</v>
      </c>
      <c r="O163" s="7" t="s">
        <v>118</v>
      </c>
      <c r="P163" s="7"/>
      <c r="Q163" s="7"/>
      <c r="R163" s="7"/>
    </row>
    <row r="164" customFormat="false" ht="15" hidden="false" customHeight="false" outlineLevel="0" collapsed="false">
      <c r="A164" s="7" t="s">
        <v>531</v>
      </c>
      <c r="B164" s="7" t="s">
        <v>532</v>
      </c>
      <c r="C164" s="7" t="s">
        <v>533</v>
      </c>
      <c r="D164" s="7" t="s">
        <v>201</v>
      </c>
      <c r="E164" s="7" t="s">
        <v>94</v>
      </c>
      <c r="F164" s="7" t="s">
        <v>95</v>
      </c>
      <c r="G164" s="7" t="s">
        <v>144</v>
      </c>
      <c r="H164" s="7" t="s">
        <v>205</v>
      </c>
      <c r="I164" s="7" t="s">
        <v>206</v>
      </c>
      <c r="J164" s="8" t="n">
        <v>45515</v>
      </c>
      <c r="K164" s="8" t="n">
        <v>45565</v>
      </c>
      <c r="L164" s="9" t="n">
        <f aca="false">K164-J164</f>
        <v>50</v>
      </c>
      <c r="M164" s="10" t="n">
        <v>46049.61</v>
      </c>
      <c r="N164" s="7" t="s">
        <v>99</v>
      </c>
      <c r="O164" s="7" t="s">
        <v>100</v>
      </c>
      <c r="P164" s="7"/>
      <c r="Q164" s="7"/>
      <c r="R164" s="7"/>
    </row>
    <row r="165" customFormat="false" ht="15" hidden="false" customHeight="false" outlineLevel="0" collapsed="false">
      <c r="A165" s="7" t="s">
        <v>534</v>
      </c>
      <c r="B165" s="7" t="s">
        <v>535</v>
      </c>
      <c r="C165" s="7" t="s">
        <v>536</v>
      </c>
      <c r="D165" s="7" t="s">
        <v>104</v>
      </c>
      <c r="E165" s="7" t="s">
        <v>105</v>
      </c>
      <c r="F165" s="7" t="s">
        <v>128</v>
      </c>
      <c r="G165" s="7" t="s">
        <v>137</v>
      </c>
      <c r="H165" s="7" t="s">
        <v>108</v>
      </c>
      <c r="I165" s="7" t="s">
        <v>109</v>
      </c>
      <c r="J165" s="8" t="n">
        <v>45465</v>
      </c>
      <c r="K165" s="8" t="n">
        <v>45566</v>
      </c>
      <c r="L165" s="9" t="n">
        <f aca="false">K165-J165</f>
        <v>101</v>
      </c>
      <c r="M165" s="10" t="n">
        <v>123246.1</v>
      </c>
      <c r="N165" s="7" t="s">
        <v>131</v>
      </c>
      <c r="O165" s="7"/>
      <c r="P165" s="8" t="n">
        <v>45583</v>
      </c>
      <c r="Q165" s="7" t="n">
        <v>1</v>
      </c>
      <c r="R165" s="8" t="n">
        <f aca="false">EDATE(P165,Q165)</f>
        <v>45614</v>
      </c>
    </row>
    <row r="166" customFormat="false" ht="15" hidden="false" customHeight="false" outlineLevel="0" collapsed="false">
      <c r="A166" s="7" t="s">
        <v>537</v>
      </c>
      <c r="B166" s="7" t="s">
        <v>427</v>
      </c>
      <c r="C166" s="7" t="s">
        <v>428</v>
      </c>
      <c r="D166" s="7" t="s">
        <v>151</v>
      </c>
      <c r="E166" s="7" t="s">
        <v>94</v>
      </c>
      <c r="F166" s="7" t="s">
        <v>157</v>
      </c>
      <c r="G166" s="7" t="s">
        <v>117</v>
      </c>
      <c r="H166" s="7" t="s">
        <v>152</v>
      </c>
      <c r="I166" s="7" t="s">
        <v>153</v>
      </c>
      <c r="J166" s="8" t="n">
        <v>45481</v>
      </c>
      <c r="K166" s="8" t="n">
        <v>45567</v>
      </c>
      <c r="L166" s="9" t="n">
        <f aca="false">K166-J166</f>
        <v>86</v>
      </c>
      <c r="M166" s="10" t="n">
        <v>159074.95</v>
      </c>
      <c r="N166" s="7" t="s">
        <v>99</v>
      </c>
      <c r="O166" s="7" t="s">
        <v>219</v>
      </c>
      <c r="P166" s="7"/>
      <c r="Q166" s="7"/>
      <c r="R166" s="7"/>
    </row>
    <row r="167" customFormat="false" ht="15" hidden="false" customHeight="false" outlineLevel="0" collapsed="false">
      <c r="A167" s="7" t="s">
        <v>538</v>
      </c>
      <c r="B167" s="7" t="s">
        <v>409</v>
      </c>
      <c r="C167" s="7" t="s">
        <v>410</v>
      </c>
      <c r="D167" s="7" t="s">
        <v>114</v>
      </c>
      <c r="E167" s="7" t="s">
        <v>94</v>
      </c>
      <c r="F167" s="7" t="s">
        <v>95</v>
      </c>
      <c r="G167" s="7" t="s">
        <v>96</v>
      </c>
      <c r="H167" s="7" t="s">
        <v>145</v>
      </c>
      <c r="I167" s="7" t="s">
        <v>146</v>
      </c>
      <c r="J167" s="8" t="n">
        <v>45487</v>
      </c>
      <c r="K167" s="8" t="n">
        <v>45568</v>
      </c>
      <c r="L167" s="9" t="n">
        <f aca="false">K167-J167</f>
        <v>81</v>
      </c>
      <c r="M167" s="10" t="n">
        <v>46801.84</v>
      </c>
      <c r="N167" s="7" t="s">
        <v>99</v>
      </c>
      <c r="O167" s="7" t="s">
        <v>118</v>
      </c>
      <c r="P167" s="7"/>
      <c r="Q167" s="7"/>
      <c r="R167" s="7"/>
    </row>
    <row r="168" customFormat="false" ht="15" hidden="false" customHeight="false" outlineLevel="0" collapsed="false">
      <c r="A168" s="7" t="s">
        <v>539</v>
      </c>
      <c r="B168" s="7" t="s">
        <v>188</v>
      </c>
      <c r="C168" s="7" t="s">
        <v>189</v>
      </c>
      <c r="D168" s="7" t="s">
        <v>151</v>
      </c>
      <c r="E168" s="7" t="s">
        <v>105</v>
      </c>
      <c r="F168" s="7" t="s">
        <v>95</v>
      </c>
      <c r="G168" s="7" t="s">
        <v>137</v>
      </c>
      <c r="H168" s="7" t="s">
        <v>278</v>
      </c>
      <c r="I168" s="7" t="s">
        <v>279</v>
      </c>
      <c r="J168" s="8" t="n">
        <v>45487</v>
      </c>
      <c r="K168" s="8" t="n">
        <v>45570</v>
      </c>
      <c r="L168" s="9" t="n">
        <f aca="false">K168-J168</f>
        <v>83</v>
      </c>
      <c r="M168" s="10" t="n">
        <v>93327.74</v>
      </c>
      <c r="N168" s="7" t="s">
        <v>131</v>
      </c>
      <c r="O168" s="7"/>
      <c r="P168" s="8" t="n">
        <v>45582</v>
      </c>
      <c r="Q168" s="7" t="n">
        <v>3</v>
      </c>
      <c r="R168" s="8" t="n">
        <f aca="false">EDATE(P168,Q168)</f>
        <v>45674</v>
      </c>
    </row>
    <row r="169" customFormat="false" ht="15" hidden="false" customHeight="false" outlineLevel="0" collapsed="false">
      <c r="A169" s="7" t="s">
        <v>540</v>
      </c>
      <c r="B169" s="7" t="s">
        <v>541</v>
      </c>
      <c r="C169" s="7" t="s">
        <v>542</v>
      </c>
      <c r="D169" s="7" t="s">
        <v>195</v>
      </c>
      <c r="E169" s="7" t="s">
        <v>94</v>
      </c>
      <c r="F169" s="7" t="s">
        <v>128</v>
      </c>
      <c r="G169" s="7" t="s">
        <v>184</v>
      </c>
      <c r="H169" s="7" t="s">
        <v>205</v>
      </c>
      <c r="I169" s="7" t="s">
        <v>206</v>
      </c>
      <c r="J169" s="8" t="n">
        <v>45482</v>
      </c>
      <c r="K169" s="8" t="n">
        <v>45570</v>
      </c>
      <c r="L169" s="9" t="n">
        <f aca="false">K169-J169</f>
        <v>88</v>
      </c>
      <c r="M169" s="10" t="n">
        <v>108216.22</v>
      </c>
      <c r="N169" s="7" t="s">
        <v>99</v>
      </c>
      <c r="O169" s="7" t="s">
        <v>124</v>
      </c>
      <c r="P169" s="7"/>
      <c r="Q169" s="7"/>
      <c r="R169" s="7"/>
    </row>
    <row r="170" customFormat="false" ht="15" hidden="false" customHeight="false" outlineLevel="0" collapsed="false">
      <c r="A170" s="7" t="s">
        <v>543</v>
      </c>
      <c r="B170" s="7" t="s">
        <v>362</v>
      </c>
      <c r="C170" s="7" t="s">
        <v>363</v>
      </c>
      <c r="D170" s="7" t="s">
        <v>195</v>
      </c>
      <c r="E170" s="7" t="s">
        <v>162</v>
      </c>
      <c r="F170" s="7" t="s">
        <v>116</v>
      </c>
      <c r="G170" s="7" t="s">
        <v>107</v>
      </c>
      <c r="H170" s="7" t="s">
        <v>138</v>
      </c>
      <c r="I170" s="7" t="s">
        <v>139</v>
      </c>
      <c r="J170" s="8" t="n">
        <v>45516</v>
      </c>
      <c r="K170" s="8" t="n">
        <v>45571</v>
      </c>
      <c r="L170" s="9" t="n">
        <f aca="false">K170-J170</f>
        <v>55</v>
      </c>
      <c r="M170" s="10" t="n">
        <v>101568.57</v>
      </c>
      <c r="N170" s="7" t="s">
        <v>99</v>
      </c>
      <c r="O170" s="7" t="s">
        <v>147</v>
      </c>
      <c r="P170" s="7"/>
      <c r="Q170" s="7"/>
      <c r="R170" s="7"/>
    </row>
    <row r="171" customFormat="false" ht="15" hidden="false" customHeight="false" outlineLevel="0" collapsed="false">
      <c r="A171" s="7" t="s">
        <v>544</v>
      </c>
      <c r="B171" s="7" t="s">
        <v>375</v>
      </c>
      <c r="C171" s="7" t="s">
        <v>376</v>
      </c>
      <c r="D171" s="7" t="s">
        <v>201</v>
      </c>
      <c r="E171" s="7" t="s">
        <v>115</v>
      </c>
      <c r="F171" s="7" t="s">
        <v>183</v>
      </c>
      <c r="G171" s="7" t="s">
        <v>96</v>
      </c>
      <c r="H171" s="7" t="s">
        <v>166</v>
      </c>
      <c r="I171" s="7" t="s">
        <v>167</v>
      </c>
      <c r="J171" s="8" t="n">
        <v>45487</v>
      </c>
      <c r="K171" s="8" t="n">
        <v>45573</v>
      </c>
      <c r="L171" s="9" t="n">
        <f aca="false">K171-J171</f>
        <v>86</v>
      </c>
      <c r="M171" s="10" t="n">
        <v>102453.28</v>
      </c>
      <c r="N171" s="7" t="s">
        <v>99</v>
      </c>
      <c r="O171" s="7" t="s">
        <v>124</v>
      </c>
      <c r="P171" s="7"/>
      <c r="Q171" s="7"/>
      <c r="R171" s="7"/>
    </row>
    <row r="172" customFormat="false" ht="15" hidden="false" customHeight="false" outlineLevel="0" collapsed="false">
      <c r="A172" s="7" t="s">
        <v>545</v>
      </c>
      <c r="B172" s="7" t="s">
        <v>546</v>
      </c>
      <c r="C172" s="7" t="s">
        <v>547</v>
      </c>
      <c r="D172" s="7" t="s">
        <v>201</v>
      </c>
      <c r="E172" s="7" t="s">
        <v>105</v>
      </c>
      <c r="F172" s="7" t="s">
        <v>143</v>
      </c>
      <c r="G172" s="7" t="s">
        <v>137</v>
      </c>
      <c r="H172" s="7" t="s">
        <v>213</v>
      </c>
      <c r="I172" s="7" t="s">
        <v>214</v>
      </c>
      <c r="J172" s="8" t="n">
        <v>45488</v>
      </c>
      <c r="K172" s="8" t="n">
        <v>45575</v>
      </c>
      <c r="L172" s="9" t="n">
        <f aca="false">K172-J172</f>
        <v>87</v>
      </c>
      <c r="M172" s="10" t="n">
        <v>229507.54</v>
      </c>
      <c r="N172" s="7" t="s">
        <v>131</v>
      </c>
      <c r="O172" s="7"/>
      <c r="P172" s="8" t="n">
        <v>45575</v>
      </c>
      <c r="Q172" s="7" t="n">
        <v>8</v>
      </c>
      <c r="R172" s="8" t="n">
        <f aca="false">EDATE(P172,Q172)</f>
        <v>45818</v>
      </c>
    </row>
    <row r="173" customFormat="false" ht="15" hidden="false" customHeight="false" outlineLevel="0" collapsed="false">
      <c r="A173" s="7" t="s">
        <v>548</v>
      </c>
      <c r="B173" s="7" t="s">
        <v>529</v>
      </c>
      <c r="C173" s="7" t="s">
        <v>530</v>
      </c>
      <c r="D173" s="7" t="s">
        <v>195</v>
      </c>
      <c r="E173" s="7" t="s">
        <v>115</v>
      </c>
      <c r="F173" s="7" t="s">
        <v>136</v>
      </c>
      <c r="G173" s="7" t="s">
        <v>107</v>
      </c>
      <c r="H173" s="7" t="s">
        <v>231</v>
      </c>
      <c r="I173" s="7" t="s">
        <v>232</v>
      </c>
      <c r="J173" s="8" t="n">
        <v>45494</v>
      </c>
      <c r="K173" s="8" t="n">
        <v>45575</v>
      </c>
      <c r="L173" s="9" t="n">
        <f aca="false">K173-J173</f>
        <v>81</v>
      </c>
      <c r="M173" s="10" t="n">
        <v>175925.46</v>
      </c>
      <c r="N173" s="7" t="s">
        <v>99</v>
      </c>
      <c r="O173" s="7" t="s">
        <v>219</v>
      </c>
      <c r="P173" s="7"/>
      <c r="Q173" s="7"/>
      <c r="R173" s="7"/>
    </row>
    <row r="174" customFormat="false" ht="15" hidden="false" customHeight="false" outlineLevel="0" collapsed="false">
      <c r="A174" s="7" t="s">
        <v>549</v>
      </c>
      <c r="B174" s="7" t="s">
        <v>188</v>
      </c>
      <c r="C174" s="7" t="s">
        <v>189</v>
      </c>
      <c r="D174" s="7" t="s">
        <v>151</v>
      </c>
      <c r="E174" s="7" t="s">
        <v>105</v>
      </c>
      <c r="F174" s="7" t="s">
        <v>128</v>
      </c>
      <c r="G174" s="7" t="s">
        <v>107</v>
      </c>
      <c r="H174" s="7" t="s">
        <v>185</v>
      </c>
      <c r="I174" s="7" t="s">
        <v>186</v>
      </c>
      <c r="J174" s="8" t="n">
        <v>45551</v>
      </c>
      <c r="K174" s="8" t="n">
        <v>45575</v>
      </c>
      <c r="L174" s="9" t="n">
        <f aca="false">K174-J174</f>
        <v>24</v>
      </c>
      <c r="M174" s="10" t="n">
        <v>30414.11</v>
      </c>
      <c r="N174" s="7" t="s">
        <v>99</v>
      </c>
      <c r="O174" s="7" t="s">
        <v>124</v>
      </c>
      <c r="P174" s="7"/>
      <c r="Q174" s="7"/>
      <c r="R174" s="7"/>
    </row>
    <row r="175" customFormat="false" ht="15" hidden="false" customHeight="false" outlineLevel="0" collapsed="false">
      <c r="A175" s="7" t="s">
        <v>550</v>
      </c>
      <c r="B175" s="7" t="s">
        <v>551</v>
      </c>
      <c r="C175" s="7" t="s">
        <v>552</v>
      </c>
      <c r="D175" s="7" t="s">
        <v>242</v>
      </c>
      <c r="E175" s="7" t="s">
        <v>115</v>
      </c>
      <c r="F175" s="7" t="s">
        <v>143</v>
      </c>
      <c r="G175" s="7" t="s">
        <v>144</v>
      </c>
      <c r="H175" s="7" t="s">
        <v>138</v>
      </c>
      <c r="I175" s="7" t="s">
        <v>139</v>
      </c>
      <c r="J175" s="8" t="n">
        <v>45511</v>
      </c>
      <c r="K175" s="8" t="n">
        <v>45576</v>
      </c>
      <c r="L175" s="9" t="n">
        <f aca="false">K175-J175</f>
        <v>65</v>
      </c>
      <c r="M175" s="10" t="n">
        <v>63999.82</v>
      </c>
      <c r="N175" s="7" t="s">
        <v>131</v>
      </c>
      <c r="O175" s="7"/>
      <c r="P175" s="8" t="n">
        <v>45576</v>
      </c>
      <c r="Q175" s="7" t="n">
        <v>7</v>
      </c>
      <c r="R175" s="8" t="n">
        <f aca="false">EDATE(P175,Q175)</f>
        <v>45788</v>
      </c>
    </row>
    <row r="176" customFormat="false" ht="15" hidden="false" customHeight="false" outlineLevel="0" collapsed="false">
      <c r="A176" s="7" t="s">
        <v>553</v>
      </c>
      <c r="B176" s="7" t="s">
        <v>217</v>
      </c>
      <c r="C176" s="7" t="s">
        <v>218</v>
      </c>
      <c r="D176" s="7" t="s">
        <v>104</v>
      </c>
      <c r="E176" s="7" t="s">
        <v>105</v>
      </c>
      <c r="F176" s="7" t="s">
        <v>128</v>
      </c>
      <c r="G176" s="7" t="s">
        <v>176</v>
      </c>
      <c r="H176" s="7" t="s">
        <v>196</v>
      </c>
      <c r="I176" s="7" t="s">
        <v>197</v>
      </c>
      <c r="J176" s="8" t="n">
        <v>45533</v>
      </c>
      <c r="K176" s="8" t="n">
        <v>45578</v>
      </c>
      <c r="L176" s="9" t="n">
        <f aca="false">K176-J176</f>
        <v>45</v>
      </c>
      <c r="M176" s="10" t="n">
        <v>35191.19</v>
      </c>
      <c r="N176" s="7" t="s">
        <v>131</v>
      </c>
      <c r="O176" s="7"/>
      <c r="P176" s="8" t="n">
        <v>45599</v>
      </c>
      <c r="Q176" s="7" t="n">
        <v>3</v>
      </c>
      <c r="R176" s="8" t="n">
        <f aca="false">EDATE(P176,Q176)</f>
        <v>45691</v>
      </c>
    </row>
    <row r="177" customFormat="false" ht="15" hidden="false" customHeight="false" outlineLevel="0" collapsed="false">
      <c r="A177" s="7" t="s">
        <v>554</v>
      </c>
      <c r="B177" s="7" t="s">
        <v>437</v>
      </c>
      <c r="C177" s="7" t="s">
        <v>438</v>
      </c>
      <c r="D177" s="7" t="s">
        <v>104</v>
      </c>
      <c r="E177" s="7" t="s">
        <v>94</v>
      </c>
      <c r="F177" s="7" t="s">
        <v>143</v>
      </c>
      <c r="G177" s="7" t="s">
        <v>176</v>
      </c>
      <c r="H177" s="7" t="s">
        <v>171</v>
      </c>
      <c r="I177" s="7" t="s">
        <v>172</v>
      </c>
      <c r="J177" s="8" t="n">
        <v>45525</v>
      </c>
      <c r="K177" s="8" t="n">
        <v>45579</v>
      </c>
      <c r="L177" s="9" t="n">
        <f aca="false">K177-J177</f>
        <v>54</v>
      </c>
      <c r="M177" s="10" t="n">
        <v>92961.66</v>
      </c>
      <c r="N177" s="7" t="s">
        <v>131</v>
      </c>
      <c r="O177" s="7"/>
      <c r="P177" s="8" t="n">
        <v>45591</v>
      </c>
      <c r="Q177" s="7" t="n">
        <v>8</v>
      </c>
      <c r="R177" s="8" t="n">
        <f aca="false">EDATE(P177,Q177)</f>
        <v>45834</v>
      </c>
    </row>
    <row r="178" customFormat="false" ht="15" hidden="false" customHeight="false" outlineLevel="0" collapsed="false">
      <c r="A178" s="7" t="s">
        <v>555</v>
      </c>
      <c r="B178" s="7" t="s">
        <v>388</v>
      </c>
      <c r="C178" s="7" t="s">
        <v>389</v>
      </c>
      <c r="D178" s="7" t="s">
        <v>201</v>
      </c>
      <c r="E178" s="7" t="s">
        <v>94</v>
      </c>
      <c r="F178" s="7" t="s">
        <v>116</v>
      </c>
      <c r="G178" s="7" t="s">
        <v>144</v>
      </c>
      <c r="H178" s="7" t="s">
        <v>108</v>
      </c>
      <c r="I178" s="7" t="s">
        <v>109</v>
      </c>
      <c r="J178" s="8" t="n">
        <v>45515</v>
      </c>
      <c r="K178" s="8" t="n">
        <v>45581</v>
      </c>
      <c r="L178" s="9" t="n">
        <f aca="false">K178-J178</f>
        <v>66</v>
      </c>
      <c r="M178" s="10" t="n">
        <v>69050.59</v>
      </c>
      <c r="N178" s="7" t="s">
        <v>99</v>
      </c>
      <c r="O178" s="7" t="s">
        <v>147</v>
      </c>
      <c r="P178" s="7"/>
      <c r="Q178" s="7"/>
      <c r="R178" s="7"/>
    </row>
    <row r="179" customFormat="false" ht="15" hidden="false" customHeight="false" outlineLevel="0" collapsed="false">
      <c r="A179" s="7" t="s">
        <v>556</v>
      </c>
      <c r="B179" s="7" t="s">
        <v>160</v>
      </c>
      <c r="C179" s="7" t="s">
        <v>161</v>
      </c>
      <c r="D179" s="7" t="s">
        <v>151</v>
      </c>
      <c r="E179" s="7" t="s">
        <v>162</v>
      </c>
      <c r="F179" s="7" t="s">
        <v>157</v>
      </c>
      <c r="G179" s="7" t="s">
        <v>117</v>
      </c>
      <c r="H179" s="7" t="s">
        <v>305</v>
      </c>
      <c r="I179" s="7" t="s">
        <v>306</v>
      </c>
      <c r="J179" s="8" t="n">
        <v>45510</v>
      </c>
      <c r="K179" s="8" t="n">
        <v>45582</v>
      </c>
      <c r="L179" s="9" t="n">
        <f aca="false">K179-J179</f>
        <v>72</v>
      </c>
      <c r="M179" s="10" t="n">
        <v>128211.9</v>
      </c>
      <c r="N179" s="7" t="s">
        <v>99</v>
      </c>
      <c r="O179" s="7" t="s">
        <v>147</v>
      </c>
      <c r="P179" s="7"/>
      <c r="Q179" s="7"/>
      <c r="R179" s="7"/>
    </row>
    <row r="180" customFormat="false" ht="15" hidden="false" customHeight="false" outlineLevel="0" collapsed="false">
      <c r="A180" s="7" t="s">
        <v>557</v>
      </c>
      <c r="B180" s="7" t="s">
        <v>400</v>
      </c>
      <c r="C180" s="7" t="s">
        <v>401</v>
      </c>
      <c r="D180" s="7" t="s">
        <v>135</v>
      </c>
      <c r="E180" s="7" t="s">
        <v>162</v>
      </c>
      <c r="F180" s="7" t="s">
        <v>128</v>
      </c>
      <c r="G180" s="7" t="s">
        <v>184</v>
      </c>
      <c r="H180" s="7" t="s">
        <v>122</v>
      </c>
      <c r="I180" s="7" t="s">
        <v>123</v>
      </c>
      <c r="J180" s="8" t="n">
        <v>45547</v>
      </c>
      <c r="K180" s="8" t="n">
        <v>45583</v>
      </c>
      <c r="L180" s="9" t="n">
        <f aca="false">K180-J180</f>
        <v>36</v>
      </c>
      <c r="M180" s="10" t="n">
        <v>18210.8</v>
      </c>
      <c r="N180" s="7" t="s">
        <v>99</v>
      </c>
      <c r="O180" s="7" t="s">
        <v>124</v>
      </c>
      <c r="P180" s="7"/>
      <c r="Q180" s="7"/>
      <c r="R180" s="7"/>
    </row>
    <row r="181" customFormat="false" ht="15" hidden="false" customHeight="false" outlineLevel="0" collapsed="false">
      <c r="A181" s="7" t="s">
        <v>558</v>
      </c>
      <c r="B181" s="7" t="s">
        <v>424</v>
      </c>
      <c r="C181" s="7" t="s">
        <v>425</v>
      </c>
      <c r="D181" s="7" t="s">
        <v>114</v>
      </c>
      <c r="E181" s="7" t="s">
        <v>115</v>
      </c>
      <c r="F181" s="7" t="s">
        <v>183</v>
      </c>
      <c r="G181" s="7" t="s">
        <v>144</v>
      </c>
      <c r="H181" s="7" t="s">
        <v>270</v>
      </c>
      <c r="I181" s="7" t="s">
        <v>271</v>
      </c>
      <c r="J181" s="8" t="n">
        <v>45508</v>
      </c>
      <c r="K181" s="8" t="n">
        <v>45587</v>
      </c>
      <c r="L181" s="9" t="n">
        <f aca="false">K181-J181</f>
        <v>79</v>
      </c>
      <c r="M181" s="10" t="n">
        <v>67249.87</v>
      </c>
      <c r="N181" s="7" t="s">
        <v>131</v>
      </c>
      <c r="O181" s="7"/>
      <c r="P181" s="8" t="n">
        <v>45588</v>
      </c>
      <c r="Q181" s="7" t="n">
        <v>1</v>
      </c>
      <c r="R181" s="8" t="n">
        <f aca="false">EDATE(P181,Q181)</f>
        <v>45619</v>
      </c>
    </row>
    <row r="182" customFormat="false" ht="15" hidden="false" customHeight="false" outlineLevel="0" collapsed="false">
      <c r="A182" s="7" t="s">
        <v>559</v>
      </c>
      <c r="B182" s="7" t="s">
        <v>155</v>
      </c>
      <c r="C182" s="7" t="s">
        <v>156</v>
      </c>
      <c r="D182" s="7" t="s">
        <v>104</v>
      </c>
      <c r="E182" s="7" t="s">
        <v>105</v>
      </c>
      <c r="F182" s="7" t="s">
        <v>95</v>
      </c>
      <c r="G182" s="7" t="s">
        <v>117</v>
      </c>
      <c r="H182" s="7" t="s">
        <v>281</v>
      </c>
      <c r="I182" s="7" t="s">
        <v>282</v>
      </c>
      <c r="J182" s="8" t="n">
        <v>45515</v>
      </c>
      <c r="K182" s="8" t="n">
        <v>45588</v>
      </c>
      <c r="L182" s="9" t="n">
        <f aca="false">K182-J182</f>
        <v>73</v>
      </c>
      <c r="M182" s="10" t="n">
        <v>52571.67</v>
      </c>
      <c r="N182" s="7" t="s">
        <v>99</v>
      </c>
      <c r="O182" s="7" t="s">
        <v>118</v>
      </c>
      <c r="P182" s="7"/>
      <c r="Q182" s="7"/>
      <c r="R182" s="7"/>
    </row>
    <row r="183" customFormat="false" ht="15" hidden="false" customHeight="false" outlineLevel="0" collapsed="false">
      <c r="A183" s="7" t="s">
        <v>560</v>
      </c>
      <c r="B183" s="7" t="s">
        <v>102</v>
      </c>
      <c r="C183" s="7" t="s">
        <v>103</v>
      </c>
      <c r="D183" s="7" t="s">
        <v>104</v>
      </c>
      <c r="E183" s="7" t="s">
        <v>105</v>
      </c>
      <c r="F183" s="7" t="s">
        <v>157</v>
      </c>
      <c r="G183" s="7" t="s">
        <v>144</v>
      </c>
      <c r="H183" s="7" t="s">
        <v>270</v>
      </c>
      <c r="I183" s="7" t="s">
        <v>271</v>
      </c>
      <c r="J183" s="8" t="n">
        <v>45531</v>
      </c>
      <c r="K183" s="8" t="n">
        <v>45590</v>
      </c>
      <c r="L183" s="9" t="n">
        <f aca="false">K183-J183</f>
        <v>59</v>
      </c>
      <c r="M183" s="10" t="n">
        <v>68209.54</v>
      </c>
      <c r="N183" s="7" t="s">
        <v>99</v>
      </c>
      <c r="O183" s="7" t="s">
        <v>124</v>
      </c>
      <c r="P183" s="7"/>
      <c r="Q183" s="7"/>
      <c r="R183" s="7"/>
    </row>
    <row r="184" customFormat="false" ht="15" hidden="false" customHeight="false" outlineLevel="0" collapsed="false">
      <c r="A184" s="7" t="s">
        <v>561</v>
      </c>
      <c r="B184" s="7" t="s">
        <v>525</v>
      </c>
      <c r="C184" s="7" t="s">
        <v>526</v>
      </c>
      <c r="D184" s="7" t="s">
        <v>114</v>
      </c>
      <c r="E184" s="7" t="s">
        <v>105</v>
      </c>
      <c r="F184" s="7" t="s">
        <v>157</v>
      </c>
      <c r="G184" s="7" t="s">
        <v>176</v>
      </c>
      <c r="H184" s="7" t="s">
        <v>278</v>
      </c>
      <c r="I184" s="7" t="s">
        <v>279</v>
      </c>
      <c r="J184" s="8" t="n">
        <v>45522</v>
      </c>
      <c r="K184" s="8" t="n">
        <v>45590</v>
      </c>
      <c r="L184" s="9" t="n">
        <f aca="false">K184-J184</f>
        <v>68</v>
      </c>
      <c r="M184" s="10" t="n">
        <v>59534.12</v>
      </c>
      <c r="N184" s="7" t="s">
        <v>99</v>
      </c>
      <c r="O184" s="7" t="s">
        <v>147</v>
      </c>
      <c r="P184" s="7"/>
      <c r="Q184" s="7"/>
      <c r="R184" s="7"/>
    </row>
    <row r="185" customFormat="false" ht="15" hidden="false" customHeight="false" outlineLevel="0" collapsed="false">
      <c r="A185" s="7" t="s">
        <v>562</v>
      </c>
      <c r="B185" s="7" t="s">
        <v>362</v>
      </c>
      <c r="C185" s="7" t="s">
        <v>363</v>
      </c>
      <c r="D185" s="7" t="s">
        <v>195</v>
      </c>
      <c r="E185" s="7" t="s">
        <v>162</v>
      </c>
      <c r="F185" s="7" t="s">
        <v>95</v>
      </c>
      <c r="G185" s="7" t="s">
        <v>137</v>
      </c>
      <c r="H185" s="7" t="s">
        <v>145</v>
      </c>
      <c r="I185" s="7" t="s">
        <v>146</v>
      </c>
      <c r="J185" s="8" t="n">
        <v>45524</v>
      </c>
      <c r="K185" s="8" t="n">
        <v>45593</v>
      </c>
      <c r="L185" s="9" t="n">
        <f aca="false">K185-J185</f>
        <v>69</v>
      </c>
      <c r="M185" s="10" t="n">
        <v>141096.84</v>
      </c>
      <c r="N185" s="7" t="s">
        <v>131</v>
      </c>
      <c r="O185" s="7"/>
      <c r="P185" s="8" t="n">
        <v>45609</v>
      </c>
      <c r="Q185" s="7" t="n">
        <v>1</v>
      </c>
      <c r="R185" s="8" t="n">
        <f aca="false">EDATE(P185,Q185)</f>
        <v>45639</v>
      </c>
    </row>
    <row r="186" customFormat="false" ht="15" hidden="false" customHeight="false" outlineLevel="0" collapsed="false">
      <c r="A186" s="7" t="s">
        <v>563</v>
      </c>
      <c r="B186" s="7" t="s">
        <v>427</v>
      </c>
      <c r="C186" s="7" t="s">
        <v>428</v>
      </c>
      <c r="D186" s="7" t="s">
        <v>151</v>
      </c>
      <c r="E186" s="7" t="s">
        <v>94</v>
      </c>
      <c r="F186" s="7" t="s">
        <v>116</v>
      </c>
      <c r="G186" s="7" t="s">
        <v>184</v>
      </c>
      <c r="H186" s="7" t="s">
        <v>402</v>
      </c>
      <c r="I186" s="7" t="s">
        <v>403</v>
      </c>
      <c r="J186" s="8" t="n">
        <v>45524</v>
      </c>
      <c r="K186" s="8" t="n">
        <v>45594</v>
      </c>
      <c r="L186" s="9" t="n">
        <f aca="false">K186-J186</f>
        <v>70</v>
      </c>
      <c r="M186" s="10" t="n">
        <v>85487.3</v>
      </c>
      <c r="N186" s="7" t="s">
        <v>99</v>
      </c>
      <c r="O186" s="7" t="s">
        <v>110</v>
      </c>
      <c r="P186" s="7"/>
      <c r="Q186" s="7"/>
      <c r="R186" s="7"/>
    </row>
    <row r="187" customFormat="false" ht="15" hidden="false" customHeight="false" outlineLevel="0" collapsed="false">
      <c r="A187" s="7" t="s">
        <v>564</v>
      </c>
      <c r="B187" s="7" t="s">
        <v>276</v>
      </c>
      <c r="C187" s="7" t="s">
        <v>277</v>
      </c>
      <c r="D187" s="7" t="s">
        <v>114</v>
      </c>
      <c r="E187" s="7" t="s">
        <v>162</v>
      </c>
      <c r="F187" s="7" t="s">
        <v>183</v>
      </c>
      <c r="G187" s="7" t="s">
        <v>117</v>
      </c>
      <c r="H187" s="7" t="s">
        <v>205</v>
      </c>
      <c r="I187" s="7" t="s">
        <v>206</v>
      </c>
      <c r="J187" s="8" t="n">
        <v>45494</v>
      </c>
      <c r="K187" s="8" t="n">
        <v>45595</v>
      </c>
      <c r="L187" s="9" t="n">
        <f aca="false">K187-J187</f>
        <v>101</v>
      </c>
      <c r="M187" s="10" t="n">
        <v>93904.26</v>
      </c>
      <c r="N187" s="7" t="s">
        <v>99</v>
      </c>
      <c r="O187" s="7" t="s">
        <v>100</v>
      </c>
      <c r="P187" s="7"/>
      <c r="Q187" s="7"/>
      <c r="R187" s="7"/>
    </row>
    <row r="188" customFormat="false" ht="15" hidden="false" customHeight="false" outlineLevel="0" collapsed="false">
      <c r="A188" s="7" t="s">
        <v>565</v>
      </c>
      <c r="B188" s="7" t="s">
        <v>566</v>
      </c>
      <c r="C188" s="7" t="s">
        <v>567</v>
      </c>
      <c r="D188" s="7" t="s">
        <v>93</v>
      </c>
      <c r="E188" s="7" t="s">
        <v>105</v>
      </c>
      <c r="F188" s="7" t="s">
        <v>128</v>
      </c>
      <c r="G188" s="7" t="s">
        <v>137</v>
      </c>
      <c r="H188" s="7" t="s">
        <v>138</v>
      </c>
      <c r="I188" s="7" t="s">
        <v>139</v>
      </c>
      <c r="J188" s="8" t="n">
        <v>45515</v>
      </c>
      <c r="K188" s="8" t="n">
        <v>45597</v>
      </c>
      <c r="L188" s="9" t="n">
        <f aca="false">K188-J188</f>
        <v>82</v>
      </c>
      <c r="M188" s="10" t="n">
        <v>23353.96</v>
      </c>
      <c r="N188" s="7" t="s">
        <v>99</v>
      </c>
      <c r="O188" s="7" t="s">
        <v>147</v>
      </c>
      <c r="P188" s="7"/>
      <c r="Q188" s="7"/>
      <c r="R188" s="7"/>
    </row>
    <row r="189" customFormat="false" ht="15" hidden="false" customHeight="false" outlineLevel="0" collapsed="false">
      <c r="A189" s="7" t="s">
        <v>568</v>
      </c>
      <c r="B189" s="7" t="s">
        <v>569</v>
      </c>
      <c r="C189" s="7" t="s">
        <v>570</v>
      </c>
      <c r="D189" s="7" t="s">
        <v>242</v>
      </c>
      <c r="E189" s="7" t="s">
        <v>162</v>
      </c>
      <c r="F189" s="7" t="s">
        <v>116</v>
      </c>
      <c r="G189" s="7" t="s">
        <v>184</v>
      </c>
      <c r="H189" s="7" t="s">
        <v>190</v>
      </c>
      <c r="I189" s="7" t="s">
        <v>191</v>
      </c>
      <c r="J189" s="8" t="n">
        <v>45499</v>
      </c>
      <c r="K189" s="8" t="n">
        <v>45599</v>
      </c>
      <c r="L189" s="9" t="n">
        <f aca="false">K189-J189</f>
        <v>100</v>
      </c>
      <c r="M189" s="10" t="n">
        <v>151339.2</v>
      </c>
      <c r="N189" s="7" t="s">
        <v>131</v>
      </c>
      <c r="O189" s="7"/>
      <c r="P189" s="8" t="n">
        <v>45606</v>
      </c>
      <c r="Q189" s="7" t="n">
        <v>9</v>
      </c>
      <c r="R189" s="8" t="n">
        <f aca="false">EDATE(P189,Q189)</f>
        <v>45879</v>
      </c>
    </row>
    <row r="190" customFormat="false" ht="15" hidden="false" customHeight="false" outlineLevel="0" collapsed="false">
      <c r="A190" s="7" t="s">
        <v>571</v>
      </c>
      <c r="B190" s="7" t="s">
        <v>340</v>
      </c>
      <c r="C190" s="7" t="s">
        <v>341</v>
      </c>
      <c r="D190" s="7" t="s">
        <v>151</v>
      </c>
      <c r="E190" s="7" t="s">
        <v>105</v>
      </c>
      <c r="F190" s="7" t="s">
        <v>116</v>
      </c>
      <c r="G190" s="7" t="s">
        <v>144</v>
      </c>
      <c r="H190" s="7" t="s">
        <v>223</v>
      </c>
      <c r="I190" s="7" t="s">
        <v>224</v>
      </c>
      <c r="J190" s="8" t="n">
        <v>45515</v>
      </c>
      <c r="K190" s="8" t="n">
        <v>45599</v>
      </c>
      <c r="L190" s="9" t="n">
        <f aca="false">K190-J190</f>
        <v>84</v>
      </c>
      <c r="M190" s="10" t="n">
        <v>44651.66</v>
      </c>
      <c r="N190" s="7" t="s">
        <v>99</v>
      </c>
      <c r="O190" s="7" t="s">
        <v>147</v>
      </c>
      <c r="P190" s="7"/>
      <c r="Q190" s="7"/>
      <c r="R190" s="7"/>
    </row>
    <row r="191" customFormat="false" ht="15" hidden="false" customHeight="false" outlineLevel="0" collapsed="false">
      <c r="A191" s="7" t="s">
        <v>572</v>
      </c>
      <c r="B191" s="7" t="s">
        <v>573</v>
      </c>
      <c r="C191" s="7" t="s">
        <v>574</v>
      </c>
      <c r="D191" s="7" t="s">
        <v>201</v>
      </c>
      <c r="E191" s="7" t="s">
        <v>115</v>
      </c>
      <c r="F191" s="7" t="s">
        <v>136</v>
      </c>
      <c r="G191" s="7" t="s">
        <v>176</v>
      </c>
      <c r="H191" s="7" t="s">
        <v>166</v>
      </c>
      <c r="I191" s="7" t="s">
        <v>167</v>
      </c>
      <c r="J191" s="8" t="n">
        <v>45495</v>
      </c>
      <c r="K191" s="8" t="n">
        <v>45601</v>
      </c>
      <c r="L191" s="9" t="n">
        <f aca="false">K191-J191</f>
        <v>106</v>
      </c>
      <c r="M191" s="10" t="n">
        <v>121474.7</v>
      </c>
      <c r="N191" s="7" t="s">
        <v>131</v>
      </c>
      <c r="O191" s="7"/>
      <c r="P191" s="8" t="n">
        <v>45613</v>
      </c>
      <c r="Q191" s="7" t="n">
        <v>4</v>
      </c>
      <c r="R191" s="8" t="n">
        <f aca="false">EDATE(P191,Q191)</f>
        <v>45733</v>
      </c>
    </row>
    <row r="192" customFormat="false" ht="15" hidden="false" customHeight="false" outlineLevel="0" collapsed="false">
      <c r="A192" s="7" t="s">
        <v>575</v>
      </c>
      <c r="B192" s="7" t="s">
        <v>291</v>
      </c>
      <c r="C192" s="7" t="s">
        <v>292</v>
      </c>
      <c r="D192" s="7" t="s">
        <v>201</v>
      </c>
      <c r="E192" s="7" t="s">
        <v>94</v>
      </c>
      <c r="F192" s="7" t="s">
        <v>128</v>
      </c>
      <c r="G192" s="7" t="s">
        <v>144</v>
      </c>
      <c r="H192" s="7" t="s">
        <v>97</v>
      </c>
      <c r="I192" s="7" t="s">
        <v>98</v>
      </c>
      <c r="J192" s="8" t="n">
        <v>45535</v>
      </c>
      <c r="K192" s="8" t="n">
        <v>45601</v>
      </c>
      <c r="L192" s="9" t="n">
        <f aca="false">K192-J192</f>
        <v>66</v>
      </c>
      <c r="M192" s="10" t="n">
        <v>53876.76</v>
      </c>
      <c r="N192" s="7" t="s">
        <v>99</v>
      </c>
      <c r="O192" s="7" t="s">
        <v>219</v>
      </c>
      <c r="P192" s="7"/>
      <c r="Q192" s="7"/>
      <c r="R192" s="7"/>
    </row>
    <row r="193" customFormat="false" ht="15" hidden="false" customHeight="false" outlineLevel="0" collapsed="false">
      <c r="A193" s="7" t="s">
        <v>576</v>
      </c>
      <c r="B193" s="7" t="s">
        <v>577</v>
      </c>
      <c r="C193" s="7" t="s">
        <v>578</v>
      </c>
      <c r="D193" s="7" t="s">
        <v>201</v>
      </c>
      <c r="E193" s="7" t="s">
        <v>94</v>
      </c>
      <c r="F193" s="7" t="s">
        <v>183</v>
      </c>
      <c r="G193" s="7" t="s">
        <v>107</v>
      </c>
      <c r="H193" s="7" t="s">
        <v>97</v>
      </c>
      <c r="I193" s="7" t="s">
        <v>98</v>
      </c>
      <c r="J193" s="8" t="n">
        <v>45536</v>
      </c>
      <c r="K193" s="8" t="n">
        <v>45604</v>
      </c>
      <c r="L193" s="9" t="n">
        <f aca="false">K193-J193</f>
        <v>68</v>
      </c>
      <c r="M193" s="10" t="n">
        <v>143622.81</v>
      </c>
      <c r="N193" s="7" t="s">
        <v>99</v>
      </c>
      <c r="O193" s="7" t="s">
        <v>219</v>
      </c>
      <c r="P193" s="7"/>
      <c r="Q193" s="7"/>
      <c r="R193" s="7"/>
    </row>
    <row r="194" customFormat="false" ht="15" hidden="false" customHeight="false" outlineLevel="0" collapsed="false">
      <c r="A194" s="7" t="s">
        <v>579</v>
      </c>
      <c r="B194" s="7" t="s">
        <v>350</v>
      </c>
      <c r="C194" s="7" t="s">
        <v>351</v>
      </c>
      <c r="D194" s="7" t="s">
        <v>242</v>
      </c>
      <c r="E194" s="7" t="s">
        <v>162</v>
      </c>
      <c r="F194" s="7" t="s">
        <v>106</v>
      </c>
      <c r="G194" s="7" t="s">
        <v>144</v>
      </c>
      <c r="H194" s="7" t="s">
        <v>402</v>
      </c>
      <c r="I194" s="7" t="s">
        <v>403</v>
      </c>
      <c r="J194" s="8" t="n">
        <v>45551</v>
      </c>
      <c r="K194" s="8" t="n">
        <v>45605</v>
      </c>
      <c r="L194" s="9" t="n">
        <f aca="false">K194-J194</f>
        <v>54</v>
      </c>
      <c r="M194" s="10" t="n">
        <v>83217.94</v>
      </c>
      <c r="N194" s="7" t="s">
        <v>99</v>
      </c>
      <c r="O194" s="7" t="s">
        <v>118</v>
      </c>
      <c r="P194" s="7"/>
      <c r="Q194" s="7"/>
      <c r="R194" s="7"/>
    </row>
    <row r="195" customFormat="false" ht="15" hidden="false" customHeight="false" outlineLevel="0" collapsed="false">
      <c r="A195" s="7" t="s">
        <v>580</v>
      </c>
      <c r="B195" s="7" t="s">
        <v>424</v>
      </c>
      <c r="C195" s="7" t="s">
        <v>425</v>
      </c>
      <c r="D195" s="7" t="s">
        <v>114</v>
      </c>
      <c r="E195" s="7" t="s">
        <v>115</v>
      </c>
      <c r="F195" s="7" t="s">
        <v>183</v>
      </c>
      <c r="G195" s="7" t="s">
        <v>117</v>
      </c>
      <c r="H195" s="7" t="s">
        <v>145</v>
      </c>
      <c r="I195" s="7" t="s">
        <v>146</v>
      </c>
      <c r="J195" s="8" t="n">
        <v>45525</v>
      </c>
      <c r="K195" s="8" t="n">
        <v>45605</v>
      </c>
      <c r="L195" s="9" t="n">
        <f aca="false">K195-J195</f>
        <v>80</v>
      </c>
      <c r="M195" s="10" t="n">
        <v>78947.02</v>
      </c>
      <c r="N195" s="7" t="s">
        <v>99</v>
      </c>
      <c r="O195" s="7" t="s">
        <v>219</v>
      </c>
      <c r="P195" s="7"/>
      <c r="Q195" s="7"/>
      <c r="R195" s="7"/>
    </row>
    <row r="196" customFormat="false" ht="15" hidden="false" customHeight="false" outlineLevel="0" collapsed="false">
      <c r="A196" s="7" t="s">
        <v>581</v>
      </c>
      <c r="B196" s="7" t="s">
        <v>582</v>
      </c>
      <c r="C196" s="7" t="s">
        <v>583</v>
      </c>
      <c r="D196" s="7" t="s">
        <v>93</v>
      </c>
      <c r="E196" s="7" t="s">
        <v>115</v>
      </c>
      <c r="F196" s="7" t="s">
        <v>128</v>
      </c>
      <c r="G196" s="7" t="s">
        <v>107</v>
      </c>
      <c r="H196" s="7" t="s">
        <v>122</v>
      </c>
      <c r="I196" s="7" t="s">
        <v>123</v>
      </c>
      <c r="J196" s="8" t="n">
        <v>45544</v>
      </c>
      <c r="K196" s="8" t="n">
        <v>45605</v>
      </c>
      <c r="L196" s="9" t="n">
        <f aca="false">K196-J196</f>
        <v>61</v>
      </c>
      <c r="M196" s="10" t="n">
        <v>107840.84</v>
      </c>
      <c r="N196" s="7" t="s">
        <v>99</v>
      </c>
      <c r="O196" s="7" t="s">
        <v>219</v>
      </c>
      <c r="P196" s="7"/>
      <c r="Q196" s="7"/>
      <c r="R196" s="7"/>
    </row>
    <row r="197" customFormat="false" ht="15" hidden="false" customHeight="false" outlineLevel="0" collapsed="false">
      <c r="A197" s="7" t="s">
        <v>584</v>
      </c>
      <c r="B197" s="7" t="s">
        <v>585</v>
      </c>
      <c r="C197" s="7" t="s">
        <v>586</v>
      </c>
      <c r="D197" s="7" t="s">
        <v>242</v>
      </c>
      <c r="E197" s="7" t="s">
        <v>115</v>
      </c>
      <c r="F197" s="7" t="s">
        <v>128</v>
      </c>
      <c r="G197" s="7" t="s">
        <v>96</v>
      </c>
      <c r="H197" s="7" t="s">
        <v>281</v>
      </c>
      <c r="I197" s="7" t="s">
        <v>282</v>
      </c>
      <c r="J197" s="8" t="n">
        <v>45528</v>
      </c>
      <c r="K197" s="8" t="n">
        <v>45607</v>
      </c>
      <c r="L197" s="9" t="n">
        <f aca="false">K197-J197</f>
        <v>79</v>
      </c>
      <c r="M197" s="10" t="n">
        <v>44875.69</v>
      </c>
      <c r="N197" s="7" t="s">
        <v>131</v>
      </c>
      <c r="O197" s="7"/>
      <c r="P197" s="8" t="n">
        <v>45616</v>
      </c>
      <c r="Q197" s="7" t="n">
        <v>2</v>
      </c>
      <c r="R197" s="8" t="n">
        <f aca="false">EDATE(P197,Q197)</f>
        <v>45677</v>
      </c>
    </row>
    <row r="198" customFormat="false" ht="15" hidden="false" customHeight="false" outlineLevel="0" collapsed="false">
      <c r="A198" s="7" t="s">
        <v>587</v>
      </c>
      <c r="B198" s="7" t="s">
        <v>133</v>
      </c>
      <c r="C198" s="7" t="s">
        <v>134</v>
      </c>
      <c r="D198" s="7" t="s">
        <v>135</v>
      </c>
      <c r="E198" s="7" t="s">
        <v>94</v>
      </c>
      <c r="F198" s="7" t="s">
        <v>183</v>
      </c>
      <c r="G198" s="7" t="s">
        <v>137</v>
      </c>
      <c r="H198" s="7" t="s">
        <v>281</v>
      </c>
      <c r="I198" s="7" t="s">
        <v>282</v>
      </c>
      <c r="J198" s="8" t="n">
        <v>45534</v>
      </c>
      <c r="K198" s="8" t="n">
        <v>45608</v>
      </c>
      <c r="L198" s="9" t="n">
        <f aca="false">K198-J198</f>
        <v>74</v>
      </c>
      <c r="M198" s="10" t="n">
        <v>46903.5</v>
      </c>
      <c r="N198" s="7" t="s">
        <v>99</v>
      </c>
      <c r="O198" s="7" t="s">
        <v>124</v>
      </c>
      <c r="P198" s="7"/>
      <c r="Q198" s="7"/>
      <c r="R198" s="7"/>
    </row>
    <row r="199" customFormat="false" ht="15" hidden="false" customHeight="false" outlineLevel="0" collapsed="false">
      <c r="A199" s="7" t="s">
        <v>588</v>
      </c>
      <c r="B199" s="7" t="s">
        <v>160</v>
      </c>
      <c r="C199" s="7" t="s">
        <v>161</v>
      </c>
      <c r="D199" s="7" t="s">
        <v>151</v>
      </c>
      <c r="E199" s="7" t="s">
        <v>162</v>
      </c>
      <c r="F199" s="7" t="s">
        <v>116</v>
      </c>
      <c r="G199" s="7" t="s">
        <v>184</v>
      </c>
      <c r="H199" s="7" t="s">
        <v>402</v>
      </c>
      <c r="I199" s="7" t="s">
        <v>403</v>
      </c>
      <c r="J199" s="8" t="n">
        <v>45524</v>
      </c>
      <c r="K199" s="8" t="n">
        <v>45608</v>
      </c>
      <c r="L199" s="9" t="n">
        <f aca="false">K199-J199</f>
        <v>84</v>
      </c>
      <c r="M199" s="10" t="n">
        <v>59007.56</v>
      </c>
      <c r="N199" s="7" t="s">
        <v>99</v>
      </c>
      <c r="O199" s="7" t="s">
        <v>219</v>
      </c>
      <c r="P199" s="7"/>
      <c r="Q199" s="7"/>
      <c r="R199" s="7"/>
    </row>
    <row r="200" customFormat="false" ht="15" hidden="false" customHeight="false" outlineLevel="0" collapsed="false">
      <c r="A200" s="7" t="s">
        <v>589</v>
      </c>
      <c r="B200" s="7" t="s">
        <v>497</v>
      </c>
      <c r="C200" s="7" t="s">
        <v>498</v>
      </c>
      <c r="D200" s="7" t="s">
        <v>135</v>
      </c>
      <c r="E200" s="7" t="s">
        <v>162</v>
      </c>
      <c r="F200" s="7" t="s">
        <v>136</v>
      </c>
      <c r="G200" s="7" t="s">
        <v>137</v>
      </c>
      <c r="H200" s="7" t="s">
        <v>129</v>
      </c>
      <c r="I200" s="7" t="s">
        <v>130</v>
      </c>
      <c r="J200" s="8" t="n">
        <v>45527</v>
      </c>
      <c r="K200" s="8" t="n">
        <v>45611</v>
      </c>
      <c r="L200" s="9" t="n">
        <f aca="false">K200-J200</f>
        <v>84</v>
      </c>
      <c r="M200" s="10" t="n">
        <v>134150.43</v>
      </c>
      <c r="N200" s="7" t="s">
        <v>99</v>
      </c>
      <c r="O200" s="7" t="s">
        <v>100</v>
      </c>
      <c r="P200" s="7"/>
      <c r="Q200" s="7"/>
      <c r="R200" s="7"/>
    </row>
    <row r="201" customFormat="false" ht="15" hidden="false" customHeight="false" outlineLevel="0" collapsed="false">
      <c r="A201" s="7" t="s">
        <v>590</v>
      </c>
      <c r="B201" s="7" t="s">
        <v>447</v>
      </c>
      <c r="C201" s="7" t="s">
        <v>448</v>
      </c>
      <c r="D201" s="7" t="s">
        <v>93</v>
      </c>
      <c r="E201" s="7" t="s">
        <v>115</v>
      </c>
      <c r="F201" s="7" t="s">
        <v>95</v>
      </c>
      <c r="G201" s="7" t="s">
        <v>144</v>
      </c>
      <c r="H201" s="7" t="s">
        <v>402</v>
      </c>
      <c r="I201" s="7" t="s">
        <v>403</v>
      </c>
      <c r="J201" s="8" t="n">
        <v>45525</v>
      </c>
      <c r="K201" s="8" t="n">
        <v>45612</v>
      </c>
      <c r="L201" s="9" t="n">
        <f aca="false">K201-J201</f>
        <v>87</v>
      </c>
      <c r="M201" s="10" t="n">
        <v>92821.27</v>
      </c>
      <c r="N201" s="7" t="s">
        <v>99</v>
      </c>
      <c r="O201" s="7" t="s">
        <v>124</v>
      </c>
      <c r="P201" s="7"/>
      <c r="Q201" s="7"/>
      <c r="R201" s="7"/>
    </row>
    <row r="202" customFormat="false" ht="15" hidden="false" customHeight="false" outlineLevel="0" collapsed="false">
      <c r="A202" s="7" t="s">
        <v>591</v>
      </c>
      <c r="B202" s="7" t="s">
        <v>592</v>
      </c>
      <c r="C202" s="7" t="s">
        <v>593</v>
      </c>
      <c r="D202" s="7" t="s">
        <v>114</v>
      </c>
      <c r="E202" s="7" t="s">
        <v>162</v>
      </c>
      <c r="F202" s="7" t="s">
        <v>136</v>
      </c>
      <c r="G202" s="7" t="s">
        <v>107</v>
      </c>
      <c r="H202" s="7" t="s">
        <v>180</v>
      </c>
      <c r="I202" s="7" t="s">
        <v>181</v>
      </c>
      <c r="J202" s="8" t="n">
        <v>45502</v>
      </c>
      <c r="K202" s="8" t="n">
        <v>45613</v>
      </c>
      <c r="L202" s="9" t="n">
        <f aca="false">K202-J202</f>
        <v>111</v>
      </c>
      <c r="M202" s="10" t="n">
        <v>231870.86</v>
      </c>
      <c r="N202" s="7" t="s">
        <v>99</v>
      </c>
      <c r="O202" s="7" t="s">
        <v>219</v>
      </c>
      <c r="P202" s="7"/>
      <c r="Q202" s="7"/>
      <c r="R202" s="7"/>
    </row>
    <row r="203" customFormat="false" ht="15" hidden="false" customHeight="false" outlineLevel="0" collapsed="false">
      <c r="A203" s="7" t="s">
        <v>594</v>
      </c>
      <c r="B203" s="7" t="s">
        <v>595</v>
      </c>
      <c r="C203" s="7" t="s">
        <v>596</v>
      </c>
      <c r="D203" s="7" t="s">
        <v>135</v>
      </c>
      <c r="E203" s="7" t="s">
        <v>94</v>
      </c>
      <c r="F203" s="7" t="s">
        <v>136</v>
      </c>
      <c r="G203" s="7" t="s">
        <v>184</v>
      </c>
      <c r="H203" s="7" t="s">
        <v>108</v>
      </c>
      <c r="I203" s="7" t="s">
        <v>109</v>
      </c>
      <c r="J203" s="8" t="n">
        <v>45567</v>
      </c>
      <c r="K203" s="8" t="n">
        <v>45614</v>
      </c>
      <c r="L203" s="9" t="n">
        <f aca="false">K203-J203</f>
        <v>47</v>
      </c>
      <c r="M203" s="10" t="n">
        <v>87688.61</v>
      </c>
      <c r="N203" s="7" t="s">
        <v>99</v>
      </c>
      <c r="O203" s="7" t="s">
        <v>219</v>
      </c>
      <c r="P203" s="7"/>
      <c r="Q203" s="7"/>
      <c r="R203" s="7"/>
    </row>
    <row r="204" customFormat="false" ht="15" hidden="false" customHeight="false" outlineLevel="0" collapsed="false">
      <c r="A204" s="7" t="s">
        <v>597</v>
      </c>
      <c r="B204" s="7" t="s">
        <v>598</v>
      </c>
      <c r="C204" s="7" t="s">
        <v>599</v>
      </c>
      <c r="D204" s="7" t="s">
        <v>114</v>
      </c>
      <c r="E204" s="7" t="s">
        <v>162</v>
      </c>
      <c r="F204" s="7" t="s">
        <v>128</v>
      </c>
      <c r="G204" s="7" t="s">
        <v>144</v>
      </c>
      <c r="H204" s="7" t="s">
        <v>166</v>
      </c>
      <c r="I204" s="7" t="s">
        <v>167</v>
      </c>
      <c r="J204" s="8" t="n">
        <v>45551</v>
      </c>
      <c r="K204" s="8" t="n">
        <v>45614</v>
      </c>
      <c r="L204" s="9" t="n">
        <f aca="false">K204-J204</f>
        <v>63</v>
      </c>
      <c r="M204" s="10" t="n">
        <v>122802.81</v>
      </c>
      <c r="N204" s="7" t="s">
        <v>131</v>
      </c>
      <c r="O204" s="7"/>
      <c r="P204" s="8" t="n">
        <v>45633</v>
      </c>
      <c r="Q204" s="7" t="n">
        <v>3</v>
      </c>
      <c r="R204" s="8" t="n">
        <f aca="false">EDATE(P204,Q204)</f>
        <v>45723</v>
      </c>
    </row>
    <row r="205" customFormat="false" ht="15" hidden="false" customHeight="false" outlineLevel="0" collapsed="false">
      <c r="A205" s="7" t="s">
        <v>600</v>
      </c>
      <c r="B205" s="7" t="s">
        <v>324</v>
      </c>
      <c r="C205" s="7" t="s">
        <v>325</v>
      </c>
      <c r="D205" s="7" t="s">
        <v>195</v>
      </c>
      <c r="E205" s="7" t="s">
        <v>94</v>
      </c>
      <c r="F205" s="7" t="s">
        <v>157</v>
      </c>
      <c r="G205" s="7" t="s">
        <v>137</v>
      </c>
      <c r="H205" s="7" t="s">
        <v>145</v>
      </c>
      <c r="I205" s="7" t="s">
        <v>146</v>
      </c>
      <c r="J205" s="8" t="n">
        <v>45515</v>
      </c>
      <c r="K205" s="8" t="n">
        <v>45617</v>
      </c>
      <c r="L205" s="9" t="n">
        <f aca="false">K205-J205</f>
        <v>102</v>
      </c>
      <c r="M205" s="10" t="n">
        <v>114994.24</v>
      </c>
      <c r="N205" s="7" t="s">
        <v>99</v>
      </c>
      <c r="O205" s="7" t="s">
        <v>147</v>
      </c>
      <c r="P205" s="7"/>
      <c r="Q205" s="7"/>
      <c r="R205" s="7"/>
    </row>
    <row r="206" customFormat="false" ht="15" hidden="false" customHeight="false" outlineLevel="0" collapsed="false">
      <c r="A206" s="7" t="s">
        <v>601</v>
      </c>
      <c r="B206" s="7" t="s">
        <v>203</v>
      </c>
      <c r="C206" s="7" t="s">
        <v>204</v>
      </c>
      <c r="D206" s="7" t="s">
        <v>195</v>
      </c>
      <c r="E206" s="7" t="s">
        <v>94</v>
      </c>
      <c r="F206" s="7" t="s">
        <v>157</v>
      </c>
      <c r="G206" s="7" t="s">
        <v>107</v>
      </c>
      <c r="H206" s="7" t="s">
        <v>213</v>
      </c>
      <c r="I206" s="7" t="s">
        <v>214</v>
      </c>
      <c r="J206" s="8" t="n">
        <v>45555</v>
      </c>
      <c r="K206" s="8" t="n">
        <v>45619</v>
      </c>
      <c r="L206" s="9" t="n">
        <f aca="false">K206-J206</f>
        <v>64</v>
      </c>
      <c r="M206" s="10" t="n">
        <v>65679.71</v>
      </c>
      <c r="N206" s="7" t="s">
        <v>99</v>
      </c>
      <c r="O206" s="7" t="s">
        <v>118</v>
      </c>
      <c r="P206" s="7"/>
      <c r="Q206" s="7"/>
      <c r="R206" s="7"/>
    </row>
    <row r="207" customFormat="false" ht="15" hidden="false" customHeight="false" outlineLevel="0" collapsed="false">
      <c r="A207" s="7" t="s">
        <v>602</v>
      </c>
      <c r="B207" s="7" t="s">
        <v>603</v>
      </c>
      <c r="C207" s="7" t="s">
        <v>604</v>
      </c>
      <c r="D207" s="7" t="s">
        <v>195</v>
      </c>
      <c r="E207" s="7" t="s">
        <v>105</v>
      </c>
      <c r="F207" s="7" t="s">
        <v>157</v>
      </c>
      <c r="G207" s="7" t="s">
        <v>184</v>
      </c>
      <c r="H207" s="7" t="s">
        <v>129</v>
      </c>
      <c r="I207" s="7" t="s">
        <v>130</v>
      </c>
      <c r="J207" s="8" t="n">
        <v>45560</v>
      </c>
      <c r="K207" s="8" t="n">
        <v>45619</v>
      </c>
      <c r="L207" s="9" t="n">
        <f aca="false">K207-J207</f>
        <v>59</v>
      </c>
      <c r="M207" s="10" t="n">
        <v>103796.97</v>
      </c>
      <c r="N207" s="7" t="s">
        <v>131</v>
      </c>
      <c r="O207" s="7"/>
      <c r="P207" s="8" t="n">
        <v>45619</v>
      </c>
      <c r="Q207" s="7" t="n">
        <v>4</v>
      </c>
      <c r="R207" s="8" t="n">
        <f aca="false">EDATE(P207,Q207)</f>
        <v>45739</v>
      </c>
    </row>
    <row r="208" customFormat="false" ht="15" hidden="false" customHeight="false" outlineLevel="0" collapsed="false">
      <c r="A208" s="7" t="s">
        <v>605</v>
      </c>
      <c r="B208" s="7" t="s">
        <v>606</v>
      </c>
      <c r="C208" s="7" t="s">
        <v>607</v>
      </c>
      <c r="D208" s="7" t="s">
        <v>135</v>
      </c>
      <c r="E208" s="7" t="s">
        <v>105</v>
      </c>
      <c r="F208" s="7" t="s">
        <v>128</v>
      </c>
      <c r="G208" s="7" t="s">
        <v>144</v>
      </c>
      <c r="H208" s="7" t="s">
        <v>196</v>
      </c>
      <c r="I208" s="7" t="s">
        <v>197</v>
      </c>
      <c r="J208" s="8" t="n">
        <v>45549</v>
      </c>
      <c r="K208" s="8" t="n">
        <v>45619</v>
      </c>
      <c r="L208" s="9" t="n">
        <f aca="false">K208-J208</f>
        <v>70</v>
      </c>
      <c r="M208" s="10" t="n">
        <v>34149.83</v>
      </c>
      <c r="N208" s="7" t="s">
        <v>99</v>
      </c>
      <c r="O208" s="7" t="s">
        <v>124</v>
      </c>
      <c r="P208" s="7"/>
      <c r="Q208" s="7"/>
      <c r="R208" s="7"/>
    </row>
    <row r="209" customFormat="false" ht="15" hidden="false" customHeight="false" outlineLevel="0" collapsed="false">
      <c r="A209" s="7" t="s">
        <v>608</v>
      </c>
      <c r="B209" s="7" t="s">
        <v>609</v>
      </c>
      <c r="C209" s="7" t="s">
        <v>610</v>
      </c>
      <c r="D209" s="7" t="s">
        <v>114</v>
      </c>
      <c r="E209" s="7" t="s">
        <v>94</v>
      </c>
      <c r="F209" s="7" t="s">
        <v>95</v>
      </c>
      <c r="G209" s="7" t="s">
        <v>137</v>
      </c>
      <c r="H209" s="7" t="s">
        <v>166</v>
      </c>
      <c r="I209" s="7" t="s">
        <v>167</v>
      </c>
      <c r="J209" s="8" t="n">
        <v>45555</v>
      </c>
      <c r="K209" s="8" t="n">
        <v>45620</v>
      </c>
      <c r="L209" s="9" t="n">
        <f aca="false">K209-J209</f>
        <v>65</v>
      </c>
      <c r="M209" s="10" t="n">
        <v>78781.28</v>
      </c>
      <c r="N209" s="7" t="s">
        <v>131</v>
      </c>
      <c r="O209" s="7"/>
      <c r="P209" s="8" t="n">
        <v>45632</v>
      </c>
      <c r="Q209" s="7" t="n">
        <v>3</v>
      </c>
      <c r="R209" s="8" t="n">
        <f aca="false">EDATE(P209,Q209)</f>
        <v>45722</v>
      </c>
    </row>
    <row r="210" customFormat="false" ht="15" hidden="false" customHeight="false" outlineLevel="0" collapsed="false">
      <c r="A210" s="7" t="s">
        <v>611</v>
      </c>
      <c r="B210" s="7" t="s">
        <v>284</v>
      </c>
      <c r="C210" s="7" t="s">
        <v>285</v>
      </c>
      <c r="D210" s="7" t="s">
        <v>201</v>
      </c>
      <c r="E210" s="7" t="s">
        <v>105</v>
      </c>
      <c r="F210" s="7" t="s">
        <v>116</v>
      </c>
      <c r="G210" s="7" t="s">
        <v>144</v>
      </c>
      <c r="H210" s="7" t="s">
        <v>152</v>
      </c>
      <c r="I210" s="7" t="s">
        <v>153</v>
      </c>
      <c r="J210" s="8" t="n">
        <v>45523</v>
      </c>
      <c r="K210" s="8" t="n">
        <v>45625</v>
      </c>
      <c r="L210" s="9" t="n">
        <f aca="false">K210-J210</f>
        <v>102</v>
      </c>
      <c r="M210" s="10" t="n">
        <v>125014.21</v>
      </c>
      <c r="N210" s="7" t="s">
        <v>99</v>
      </c>
      <c r="O210" s="7" t="s">
        <v>110</v>
      </c>
      <c r="P210" s="7"/>
      <c r="Q210" s="7"/>
      <c r="R210" s="7"/>
    </row>
    <row r="211" customFormat="false" ht="15" hidden="false" customHeight="false" outlineLevel="0" collapsed="false">
      <c r="A211" s="7" t="s">
        <v>612</v>
      </c>
      <c r="B211" s="7" t="s">
        <v>613</v>
      </c>
      <c r="C211" s="7" t="s">
        <v>614</v>
      </c>
      <c r="D211" s="7" t="s">
        <v>114</v>
      </c>
      <c r="E211" s="7" t="s">
        <v>105</v>
      </c>
      <c r="F211" s="7" t="s">
        <v>143</v>
      </c>
      <c r="G211" s="7" t="s">
        <v>96</v>
      </c>
      <c r="H211" s="7" t="s">
        <v>223</v>
      </c>
      <c r="I211" s="7" t="s">
        <v>224</v>
      </c>
      <c r="J211" s="8" t="n">
        <v>45560</v>
      </c>
      <c r="K211" s="8" t="n">
        <v>45628</v>
      </c>
      <c r="L211" s="9" t="n">
        <f aca="false">K211-J211</f>
        <v>68</v>
      </c>
      <c r="M211" s="10" t="n">
        <v>81497.82</v>
      </c>
      <c r="N211" s="7" t="s">
        <v>99</v>
      </c>
      <c r="O211" s="7" t="s">
        <v>147</v>
      </c>
      <c r="P211" s="7"/>
      <c r="Q211" s="7"/>
      <c r="R211" s="7"/>
    </row>
    <row r="212" customFormat="false" ht="15" hidden="false" customHeight="false" outlineLevel="0" collapsed="false">
      <c r="A212" s="7" t="s">
        <v>615</v>
      </c>
      <c r="B212" s="7" t="s">
        <v>616</v>
      </c>
      <c r="C212" s="7" t="s">
        <v>617</v>
      </c>
      <c r="D212" s="7" t="s">
        <v>201</v>
      </c>
      <c r="E212" s="7" t="s">
        <v>105</v>
      </c>
      <c r="F212" s="7" t="s">
        <v>116</v>
      </c>
      <c r="G212" s="7" t="s">
        <v>184</v>
      </c>
      <c r="H212" s="7" t="s">
        <v>177</v>
      </c>
      <c r="I212" s="7" t="s">
        <v>178</v>
      </c>
      <c r="J212" s="8" t="n">
        <v>45608</v>
      </c>
      <c r="K212" s="8" t="n">
        <v>45629</v>
      </c>
      <c r="L212" s="9" t="n">
        <f aca="false">K212-J212</f>
        <v>21</v>
      </c>
      <c r="M212" s="10" t="n">
        <v>47208.41</v>
      </c>
      <c r="N212" s="7" t="s">
        <v>131</v>
      </c>
      <c r="O212" s="7"/>
      <c r="P212" s="8" t="n">
        <v>45643</v>
      </c>
      <c r="Q212" s="7" t="n">
        <v>6</v>
      </c>
      <c r="R212" s="8" t="n">
        <f aca="false">EDATE(P212,Q212)</f>
        <v>45825</v>
      </c>
    </row>
    <row r="213" customFormat="false" ht="15" hidden="false" customHeight="false" outlineLevel="0" collapsed="false">
      <c r="A213" s="7" t="s">
        <v>618</v>
      </c>
      <c r="B213" s="7" t="s">
        <v>509</v>
      </c>
      <c r="C213" s="7" t="s">
        <v>510</v>
      </c>
      <c r="D213" s="7" t="s">
        <v>104</v>
      </c>
      <c r="E213" s="7" t="s">
        <v>162</v>
      </c>
      <c r="F213" s="7" t="s">
        <v>157</v>
      </c>
      <c r="G213" s="7" t="s">
        <v>144</v>
      </c>
      <c r="H213" s="7" t="s">
        <v>97</v>
      </c>
      <c r="I213" s="7" t="s">
        <v>98</v>
      </c>
      <c r="J213" s="8" t="n">
        <v>45555</v>
      </c>
      <c r="K213" s="8" t="n">
        <v>45632</v>
      </c>
      <c r="L213" s="9" t="n">
        <f aca="false">K213-J213</f>
        <v>77</v>
      </c>
      <c r="M213" s="10" t="n">
        <v>42495.2</v>
      </c>
      <c r="N213" s="7" t="s">
        <v>99</v>
      </c>
      <c r="O213" s="7" t="s">
        <v>100</v>
      </c>
      <c r="P213" s="7"/>
      <c r="Q213" s="7"/>
      <c r="R213" s="7"/>
    </row>
    <row r="214" customFormat="false" ht="15" hidden="false" customHeight="false" outlineLevel="0" collapsed="false">
      <c r="A214" s="7" t="s">
        <v>619</v>
      </c>
      <c r="B214" s="7" t="s">
        <v>485</v>
      </c>
      <c r="C214" s="7" t="s">
        <v>486</v>
      </c>
      <c r="D214" s="7" t="s">
        <v>151</v>
      </c>
      <c r="E214" s="7" t="s">
        <v>94</v>
      </c>
      <c r="F214" s="7" t="s">
        <v>116</v>
      </c>
      <c r="G214" s="7" t="s">
        <v>137</v>
      </c>
      <c r="H214" s="7" t="s">
        <v>180</v>
      </c>
      <c r="I214" s="7" t="s">
        <v>181</v>
      </c>
      <c r="J214" s="8" t="n">
        <v>45553</v>
      </c>
      <c r="K214" s="8" t="n">
        <v>45636</v>
      </c>
      <c r="L214" s="9" t="n">
        <f aca="false">K214-J214</f>
        <v>83</v>
      </c>
      <c r="M214" s="10" t="n">
        <v>41041.66</v>
      </c>
      <c r="N214" s="7" t="s">
        <v>99</v>
      </c>
      <c r="O214" s="7" t="s">
        <v>118</v>
      </c>
      <c r="P214" s="7"/>
      <c r="Q214" s="7"/>
      <c r="R214" s="7"/>
    </row>
    <row r="215" customFormat="false" ht="15" hidden="false" customHeight="false" outlineLevel="0" collapsed="false">
      <c r="A215" s="7" t="s">
        <v>620</v>
      </c>
      <c r="B215" s="7" t="s">
        <v>490</v>
      </c>
      <c r="C215" s="7" t="s">
        <v>491</v>
      </c>
      <c r="D215" s="7" t="s">
        <v>195</v>
      </c>
      <c r="E215" s="7" t="s">
        <v>162</v>
      </c>
      <c r="F215" s="7" t="s">
        <v>95</v>
      </c>
      <c r="G215" s="7" t="s">
        <v>117</v>
      </c>
      <c r="H215" s="7" t="s">
        <v>145</v>
      </c>
      <c r="I215" s="7" t="s">
        <v>146</v>
      </c>
      <c r="J215" s="8" t="n">
        <v>45540</v>
      </c>
      <c r="K215" s="8" t="n">
        <v>45637</v>
      </c>
      <c r="L215" s="9" t="n">
        <f aca="false">K215-J215</f>
        <v>97</v>
      </c>
      <c r="M215" s="10" t="n">
        <v>58029.43</v>
      </c>
      <c r="N215" s="7" t="s">
        <v>131</v>
      </c>
      <c r="O215" s="7"/>
      <c r="P215" s="8" t="n">
        <v>45652</v>
      </c>
      <c r="Q215" s="7" t="n">
        <v>1</v>
      </c>
      <c r="R215" s="8" t="n">
        <f aca="false">EDATE(P215,Q215)</f>
        <v>45683</v>
      </c>
    </row>
    <row r="216" customFormat="false" ht="15" hidden="false" customHeight="false" outlineLevel="0" collapsed="false">
      <c r="A216" s="7" t="s">
        <v>621</v>
      </c>
      <c r="B216" s="7" t="s">
        <v>470</v>
      </c>
      <c r="C216" s="7" t="s">
        <v>471</v>
      </c>
      <c r="D216" s="7" t="s">
        <v>201</v>
      </c>
      <c r="E216" s="7" t="s">
        <v>115</v>
      </c>
      <c r="F216" s="7" t="s">
        <v>136</v>
      </c>
      <c r="G216" s="7" t="s">
        <v>184</v>
      </c>
      <c r="H216" s="7" t="s">
        <v>196</v>
      </c>
      <c r="I216" s="7" t="s">
        <v>197</v>
      </c>
      <c r="J216" s="8" t="n">
        <v>45494</v>
      </c>
      <c r="K216" s="8" t="n">
        <v>45638</v>
      </c>
      <c r="L216" s="9" t="n">
        <f aca="false">K216-J216</f>
        <v>144</v>
      </c>
      <c r="M216" s="10" t="n">
        <v>200859.9</v>
      </c>
      <c r="N216" s="7" t="s">
        <v>99</v>
      </c>
      <c r="O216" s="7" t="s">
        <v>100</v>
      </c>
      <c r="P216" s="7"/>
      <c r="Q216" s="7"/>
      <c r="R216" s="7"/>
    </row>
    <row r="217" customFormat="false" ht="15" hidden="false" customHeight="false" outlineLevel="0" collapsed="false">
      <c r="A217" s="7" t="s">
        <v>622</v>
      </c>
      <c r="B217" s="7" t="s">
        <v>623</v>
      </c>
      <c r="C217" s="7" t="s">
        <v>624</v>
      </c>
      <c r="D217" s="7" t="s">
        <v>93</v>
      </c>
      <c r="E217" s="7" t="s">
        <v>115</v>
      </c>
      <c r="F217" s="7" t="s">
        <v>128</v>
      </c>
      <c r="G217" s="7" t="s">
        <v>184</v>
      </c>
      <c r="H217" s="7" t="s">
        <v>166</v>
      </c>
      <c r="I217" s="7" t="s">
        <v>167</v>
      </c>
      <c r="J217" s="8" t="n">
        <v>45554</v>
      </c>
      <c r="K217" s="8" t="n">
        <v>45640</v>
      </c>
      <c r="L217" s="9" t="n">
        <f aca="false">K217-J217</f>
        <v>86</v>
      </c>
      <c r="M217" s="10" t="n">
        <v>133773.69</v>
      </c>
      <c r="N217" s="7" t="s">
        <v>131</v>
      </c>
      <c r="O217" s="7"/>
      <c r="P217" s="8" t="n">
        <v>45653</v>
      </c>
      <c r="Q217" s="7" t="n">
        <v>1</v>
      </c>
      <c r="R217" s="8" t="n">
        <f aca="false">EDATE(P217,Q217)</f>
        <v>45684</v>
      </c>
    </row>
    <row r="218" customFormat="false" ht="15" hidden="false" customHeight="false" outlineLevel="0" collapsed="false">
      <c r="A218" s="7" t="s">
        <v>625</v>
      </c>
      <c r="B218" s="7" t="s">
        <v>366</v>
      </c>
      <c r="C218" s="7" t="s">
        <v>367</v>
      </c>
      <c r="D218" s="7" t="s">
        <v>114</v>
      </c>
      <c r="E218" s="7" t="s">
        <v>162</v>
      </c>
      <c r="F218" s="7" t="s">
        <v>116</v>
      </c>
      <c r="G218" s="7" t="s">
        <v>144</v>
      </c>
      <c r="H218" s="7" t="s">
        <v>205</v>
      </c>
      <c r="I218" s="7" t="s">
        <v>206</v>
      </c>
      <c r="J218" s="8" t="n">
        <v>45529</v>
      </c>
      <c r="K218" s="8" t="n">
        <v>45642</v>
      </c>
      <c r="L218" s="9" t="n">
        <f aca="false">K218-J218</f>
        <v>113</v>
      </c>
      <c r="M218" s="10" t="n">
        <v>155966.34</v>
      </c>
      <c r="N218" s="7" t="s">
        <v>131</v>
      </c>
      <c r="O218" s="7"/>
      <c r="P218" s="8" t="n">
        <v>45663</v>
      </c>
      <c r="Q218" s="7" t="n">
        <v>8</v>
      </c>
      <c r="R218" s="8" t="n">
        <f aca="false">EDATE(P218,Q218)</f>
        <v>45906</v>
      </c>
    </row>
    <row r="219" customFormat="false" ht="15" hidden="false" customHeight="false" outlineLevel="0" collapsed="false">
      <c r="A219" s="7" t="s">
        <v>626</v>
      </c>
      <c r="B219" s="7" t="s">
        <v>372</v>
      </c>
      <c r="C219" s="7" t="s">
        <v>373</v>
      </c>
      <c r="D219" s="7" t="s">
        <v>242</v>
      </c>
      <c r="E219" s="7" t="s">
        <v>105</v>
      </c>
      <c r="F219" s="7" t="s">
        <v>116</v>
      </c>
      <c r="G219" s="7" t="s">
        <v>96</v>
      </c>
      <c r="H219" s="7" t="s">
        <v>258</v>
      </c>
      <c r="I219" s="7" t="s">
        <v>259</v>
      </c>
      <c r="J219" s="8" t="n">
        <v>45543</v>
      </c>
      <c r="K219" s="8" t="n">
        <v>45646</v>
      </c>
      <c r="L219" s="9" t="n">
        <f aca="false">K219-J219</f>
        <v>103</v>
      </c>
      <c r="M219" s="10" t="n">
        <v>96958.17</v>
      </c>
      <c r="N219" s="7" t="s">
        <v>99</v>
      </c>
      <c r="O219" s="7" t="s">
        <v>147</v>
      </c>
      <c r="P219" s="7"/>
      <c r="Q219" s="7"/>
      <c r="R219" s="7"/>
    </row>
    <row r="220" customFormat="false" ht="15" hidden="false" customHeight="false" outlineLevel="0" collapsed="false">
      <c r="A220" s="7" t="s">
        <v>627</v>
      </c>
      <c r="B220" s="7" t="s">
        <v>490</v>
      </c>
      <c r="C220" s="7" t="s">
        <v>491</v>
      </c>
      <c r="D220" s="7" t="s">
        <v>195</v>
      </c>
      <c r="E220" s="7" t="s">
        <v>162</v>
      </c>
      <c r="F220" s="7" t="s">
        <v>128</v>
      </c>
      <c r="G220" s="7" t="s">
        <v>144</v>
      </c>
      <c r="H220" s="7" t="s">
        <v>402</v>
      </c>
      <c r="I220" s="7" t="s">
        <v>403</v>
      </c>
      <c r="J220" s="8" t="n">
        <v>45567</v>
      </c>
      <c r="K220" s="8" t="n">
        <v>45646</v>
      </c>
      <c r="L220" s="9" t="n">
        <f aca="false">K220-J220</f>
        <v>79</v>
      </c>
      <c r="M220" s="10" t="n">
        <v>53392.3</v>
      </c>
      <c r="N220" s="7" t="s">
        <v>131</v>
      </c>
      <c r="O220" s="7"/>
      <c r="P220" s="8" t="n">
        <v>45663</v>
      </c>
      <c r="Q220" s="7" t="n">
        <v>3</v>
      </c>
      <c r="R220" s="8" t="n">
        <f aca="false">EDATE(P220,Q220)</f>
        <v>45753</v>
      </c>
    </row>
    <row r="221" customFormat="false" ht="15" hidden="false" customHeight="false" outlineLevel="0" collapsed="false">
      <c r="A221" s="7" t="s">
        <v>628</v>
      </c>
      <c r="B221" s="7" t="s">
        <v>629</v>
      </c>
      <c r="C221" s="7" t="s">
        <v>630</v>
      </c>
      <c r="D221" s="7" t="s">
        <v>151</v>
      </c>
      <c r="E221" s="7" t="s">
        <v>162</v>
      </c>
      <c r="F221" s="7" t="s">
        <v>106</v>
      </c>
      <c r="G221" s="7" t="s">
        <v>96</v>
      </c>
      <c r="H221" s="7" t="s">
        <v>97</v>
      </c>
      <c r="I221" s="7" t="s">
        <v>98</v>
      </c>
      <c r="J221" s="8" t="n">
        <v>45564</v>
      </c>
      <c r="K221" s="8" t="n">
        <v>45647</v>
      </c>
      <c r="L221" s="9" t="n">
        <f aca="false">K221-J221</f>
        <v>83</v>
      </c>
      <c r="M221" s="10" t="n">
        <v>77322.83</v>
      </c>
      <c r="N221" s="7" t="s">
        <v>131</v>
      </c>
      <c r="O221" s="7"/>
      <c r="P221" s="8" t="n">
        <v>45655</v>
      </c>
      <c r="Q221" s="7" t="n">
        <v>5</v>
      </c>
      <c r="R221" s="8" t="n">
        <f aca="false">EDATE(P221,Q221)</f>
        <v>45806</v>
      </c>
    </row>
    <row r="222" customFormat="false" ht="15" hidden="false" customHeight="false" outlineLevel="0" collapsed="false">
      <c r="A222" s="7" t="s">
        <v>631</v>
      </c>
      <c r="B222" s="7" t="s">
        <v>244</v>
      </c>
      <c r="C222" s="7" t="s">
        <v>245</v>
      </c>
      <c r="D222" s="7" t="s">
        <v>135</v>
      </c>
      <c r="E222" s="7" t="s">
        <v>162</v>
      </c>
      <c r="F222" s="7" t="s">
        <v>183</v>
      </c>
      <c r="G222" s="7" t="s">
        <v>96</v>
      </c>
      <c r="H222" s="7" t="s">
        <v>166</v>
      </c>
      <c r="I222" s="7" t="s">
        <v>167</v>
      </c>
      <c r="J222" s="8" t="n">
        <v>45539</v>
      </c>
      <c r="K222" s="8" t="n">
        <v>45648</v>
      </c>
      <c r="L222" s="9" t="n">
        <f aca="false">K222-J222</f>
        <v>109</v>
      </c>
      <c r="M222" s="10" t="n">
        <v>171154.46</v>
      </c>
      <c r="N222" s="7" t="s">
        <v>131</v>
      </c>
      <c r="O222" s="7"/>
      <c r="P222" s="8" t="n">
        <v>45657</v>
      </c>
      <c r="Q222" s="7" t="n">
        <v>2</v>
      </c>
      <c r="R222" s="8" t="n">
        <f aca="false">EDATE(P222,Q222)</f>
        <v>45716</v>
      </c>
    </row>
    <row r="223" customFormat="false" ht="15" hidden="false" customHeight="false" outlineLevel="0" collapsed="false">
      <c r="A223" s="7" t="s">
        <v>632</v>
      </c>
      <c r="B223" s="7" t="s">
        <v>633</v>
      </c>
      <c r="C223" s="7" t="s">
        <v>634</v>
      </c>
      <c r="D223" s="7" t="s">
        <v>242</v>
      </c>
      <c r="E223" s="7" t="s">
        <v>94</v>
      </c>
      <c r="F223" s="7" t="s">
        <v>106</v>
      </c>
      <c r="G223" s="7" t="s">
        <v>107</v>
      </c>
      <c r="H223" s="7" t="s">
        <v>185</v>
      </c>
      <c r="I223" s="7" t="s">
        <v>186</v>
      </c>
      <c r="J223" s="8" t="n">
        <v>45560</v>
      </c>
      <c r="K223" s="8" t="n">
        <v>45648</v>
      </c>
      <c r="L223" s="9" t="n">
        <f aca="false">K223-J223</f>
        <v>88</v>
      </c>
      <c r="M223" s="10" t="n">
        <v>16571.22</v>
      </c>
      <c r="N223" s="7" t="s">
        <v>99</v>
      </c>
      <c r="O223" s="7" t="s">
        <v>124</v>
      </c>
      <c r="P223" s="7"/>
      <c r="Q223" s="7"/>
      <c r="R223" s="7"/>
    </row>
    <row r="224" customFormat="false" ht="15" hidden="false" customHeight="false" outlineLevel="0" collapsed="false">
      <c r="A224" s="7" t="s">
        <v>635</v>
      </c>
      <c r="B224" s="7" t="s">
        <v>199</v>
      </c>
      <c r="C224" s="7" t="s">
        <v>200</v>
      </c>
      <c r="D224" s="7" t="s">
        <v>201</v>
      </c>
      <c r="E224" s="7" t="s">
        <v>94</v>
      </c>
      <c r="F224" s="7" t="s">
        <v>157</v>
      </c>
      <c r="G224" s="7" t="s">
        <v>96</v>
      </c>
      <c r="H224" s="7" t="s">
        <v>258</v>
      </c>
      <c r="I224" s="7" t="s">
        <v>259</v>
      </c>
      <c r="J224" s="8" t="n">
        <v>45537</v>
      </c>
      <c r="K224" s="8" t="n">
        <v>45648</v>
      </c>
      <c r="L224" s="9" t="n">
        <f aca="false">K224-J224</f>
        <v>111</v>
      </c>
      <c r="M224" s="10" t="n">
        <v>111655.01</v>
      </c>
      <c r="N224" s="7" t="s">
        <v>131</v>
      </c>
      <c r="O224" s="7"/>
      <c r="P224" s="8" t="n">
        <v>45657</v>
      </c>
      <c r="Q224" s="7" t="n">
        <v>5</v>
      </c>
      <c r="R224" s="8" t="n">
        <f aca="false">EDATE(P224,Q224)</f>
        <v>45808</v>
      </c>
    </row>
    <row r="225" customFormat="false" ht="15" hidden="false" customHeight="false" outlineLevel="0" collapsed="false">
      <c r="A225" s="7" t="s">
        <v>636</v>
      </c>
      <c r="B225" s="7" t="s">
        <v>603</v>
      </c>
      <c r="C225" s="7" t="s">
        <v>604</v>
      </c>
      <c r="D225" s="7" t="s">
        <v>195</v>
      </c>
      <c r="E225" s="7" t="s">
        <v>105</v>
      </c>
      <c r="F225" s="7" t="s">
        <v>143</v>
      </c>
      <c r="G225" s="7" t="s">
        <v>107</v>
      </c>
      <c r="H225" s="7" t="s">
        <v>166</v>
      </c>
      <c r="I225" s="7" t="s">
        <v>167</v>
      </c>
      <c r="J225" s="8" t="n">
        <v>45554</v>
      </c>
      <c r="K225" s="8" t="n">
        <v>45648</v>
      </c>
      <c r="L225" s="9" t="n">
        <f aca="false">K225-J225</f>
        <v>94</v>
      </c>
      <c r="M225" s="10" t="n">
        <v>215971.66</v>
      </c>
      <c r="N225" s="7" t="s">
        <v>99</v>
      </c>
      <c r="O225" s="7" t="s">
        <v>100</v>
      </c>
      <c r="P225" s="7"/>
      <c r="Q225" s="7"/>
      <c r="R225" s="7"/>
    </row>
    <row r="226" customFormat="false" ht="15" hidden="false" customHeight="false" outlineLevel="0" collapsed="false">
      <c r="A226" s="7" t="s">
        <v>637</v>
      </c>
      <c r="B226" s="7" t="s">
        <v>595</v>
      </c>
      <c r="C226" s="7" t="s">
        <v>596</v>
      </c>
      <c r="D226" s="7" t="s">
        <v>135</v>
      </c>
      <c r="E226" s="7" t="s">
        <v>94</v>
      </c>
      <c r="F226" s="7" t="s">
        <v>136</v>
      </c>
      <c r="G226" s="7" t="s">
        <v>176</v>
      </c>
      <c r="H226" s="7" t="s">
        <v>129</v>
      </c>
      <c r="I226" s="7" t="s">
        <v>130</v>
      </c>
      <c r="J226" s="8" t="n">
        <v>45615</v>
      </c>
      <c r="K226" s="8" t="n">
        <v>45651</v>
      </c>
      <c r="L226" s="9" t="n">
        <f aca="false">K226-J226</f>
        <v>36</v>
      </c>
      <c r="M226" s="10" t="n">
        <v>93500.1</v>
      </c>
      <c r="N226" s="7" t="s">
        <v>99</v>
      </c>
      <c r="O226" s="7" t="s">
        <v>100</v>
      </c>
      <c r="P226" s="7"/>
      <c r="Q226" s="7"/>
      <c r="R226" s="7"/>
    </row>
    <row r="227" customFormat="false" ht="15" hidden="false" customHeight="false" outlineLevel="0" collapsed="false">
      <c r="A227" s="7" t="s">
        <v>638</v>
      </c>
      <c r="B227" s="7" t="s">
        <v>334</v>
      </c>
      <c r="C227" s="7" t="s">
        <v>335</v>
      </c>
      <c r="D227" s="7" t="s">
        <v>242</v>
      </c>
      <c r="E227" s="7" t="s">
        <v>162</v>
      </c>
      <c r="F227" s="7" t="s">
        <v>128</v>
      </c>
      <c r="G227" s="7" t="s">
        <v>96</v>
      </c>
      <c r="H227" s="7" t="s">
        <v>258</v>
      </c>
      <c r="I227" s="7" t="s">
        <v>259</v>
      </c>
      <c r="J227" s="8" t="n">
        <v>45587</v>
      </c>
      <c r="K227" s="8" t="n">
        <v>45654</v>
      </c>
      <c r="L227" s="9" t="n">
        <f aca="false">K227-J227</f>
        <v>67</v>
      </c>
      <c r="M227" s="10" t="n">
        <v>70449.69</v>
      </c>
      <c r="N227" s="7" t="s">
        <v>131</v>
      </c>
      <c r="O227" s="7"/>
      <c r="P227" s="8" t="n">
        <v>45655</v>
      </c>
      <c r="Q227" s="7" t="n">
        <v>1</v>
      </c>
      <c r="R227" s="8" t="n">
        <f aca="false">EDATE(P227,Q227)</f>
        <v>45686</v>
      </c>
    </row>
    <row r="228" customFormat="false" ht="15" hidden="false" customHeight="false" outlineLevel="0" collapsed="false">
      <c r="A228" s="7" t="s">
        <v>639</v>
      </c>
      <c r="B228" s="7" t="s">
        <v>388</v>
      </c>
      <c r="C228" s="7" t="s">
        <v>389</v>
      </c>
      <c r="D228" s="7" t="s">
        <v>201</v>
      </c>
      <c r="E228" s="7" t="s">
        <v>94</v>
      </c>
      <c r="F228" s="7" t="s">
        <v>143</v>
      </c>
      <c r="G228" s="7" t="s">
        <v>96</v>
      </c>
      <c r="H228" s="7" t="s">
        <v>258</v>
      </c>
      <c r="I228" s="7" t="s">
        <v>259</v>
      </c>
      <c r="J228" s="8" t="n">
        <v>45563</v>
      </c>
      <c r="K228" s="8" t="n">
        <v>45657</v>
      </c>
      <c r="L228" s="9" t="n">
        <f aca="false">K228-J228</f>
        <v>94</v>
      </c>
      <c r="M228" s="10" t="n">
        <v>242786.08</v>
      </c>
      <c r="N228" s="7" t="s">
        <v>99</v>
      </c>
      <c r="O228" s="7" t="s">
        <v>118</v>
      </c>
      <c r="P228" s="7"/>
      <c r="Q228" s="7"/>
      <c r="R228" s="7"/>
    </row>
    <row r="229" customFormat="false" ht="15" hidden="false" customHeight="false" outlineLevel="0" collapsed="false">
      <c r="A229" s="7" t="s">
        <v>640</v>
      </c>
      <c r="B229" s="7" t="s">
        <v>641</v>
      </c>
      <c r="C229" s="7" t="s">
        <v>642</v>
      </c>
      <c r="D229" s="7" t="s">
        <v>104</v>
      </c>
      <c r="E229" s="7" t="s">
        <v>115</v>
      </c>
      <c r="F229" s="7" t="s">
        <v>95</v>
      </c>
      <c r="G229" s="7" t="s">
        <v>107</v>
      </c>
      <c r="H229" s="7" t="s">
        <v>305</v>
      </c>
      <c r="I229" s="7" t="s">
        <v>306</v>
      </c>
      <c r="J229" s="8" t="n">
        <v>45569</v>
      </c>
      <c r="K229" s="8" t="n">
        <v>45663</v>
      </c>
      <c r="L229" s="9" t="n">
        <f aca="false">K229-J229</f>
        <v>94</v>
      </c>
      <c r="M229" s="10" t="n">
        <v>93148.78</v>
      </c>
      <c r="N229" s="7" t="s">
        <v>99</v>
      </c>
      <c r="O229" s="7" t="s">
        <v>147</v>
      </c>
      <c r="P229" s="7"/>
      <c r="Q229" s="7"/>
      <c r="R229" s="7"/>
    </row>
    <row r="230" customFormat="false" ht="15" hidden="false" customHeight="false" outlineLevel="0" collapsed="false">
      <c r="A230" s="7" t="s">
        <v>643</v>
      </c>
      <c r="B230" s="7" t="s">
        <v>577</v>
      </c>
      <c r="C230" s="7" t="s">
        <v>578</v>
      </c>
      <c r="D230" s="7" t="s">
        <v>201</v>
      </c>
      <c r="E230" s="7" t="s">
        <v>94</v>
      </c>
      <c r="F230" s="7" t="s">
        <v>95</v>
      </c>
      <c r="G230" s="7" t="s">
        <v>96</v>
      </c>
      <c r="H230" s="7" t="s">
        <v>270</v>
      </c>
      <c r="I230" s="7" t="s">
        <v>271</v>
      </c>
      <c r="J230" s="8" t="n">
        <v>45595</v>
      </c>
      <c r="K230" s="8" t="n">
        <v>45666</v>
      </c>
      <c r="L230" s="9" t="n">
        <f aca="false">K230-J230</f>
        <v>71</v>
      </c>
      <c r="M230" s="10" t="n">
        <v>41982.4</v>
      </c>
      <c r="N230" s="7" t="s">
        <v>99</v>
      </c>
      <c r="O230" s="7" t="s">
        <v>124</v>
      </c>
      <c r="P230" s="7"/>
      <c r="Q230" s="7"/>
      <c r="R230" s="7"/>
    </row>
    <row r="231" customFormat="false" ht="15" hidden="false" customHeight="false" outlineLevel="0" collapsed="false">
      <c r="A231" s="7" t="s">
        <v>644</v>
      </c>
      <c r="B231" s="7" t="s">
        <v>645</v>
      </c>
      <c r="C231" s="7" t="s">
        <v>646</v>
      </c>
      <c r="D231" s="7" t="s">
        <v>242</v>
      </c>
      <c r="E231" s="7" t="s">
        <v>162</v>
      </c>
      <c r="F231" s="7" t="s">
        <v>116</v>
      </c>
      <c r="G231" s="7" t="s">
        <v>137</v>
      </c>
      <c r="H231" s="7" t="s">
        <v>122</v>
      </c>
      <c r="I231" s="7" t="s">
        <v>123</v>
      </c>
      <c r="J231" s="8" t="n">
        <v>45605</v>
      </c>
      <c r="K231" s="8" t="n">
        <v>45668</v>
      </c>
      <c r="L231" s="9" t="n">
        <f aca="false">K231-J231</f>
        <v>63</v>
      </c>
      <c r="M231" s="10" t="n">
        <v>123872.02</v>
      </c>
      <c r="N231" s="7" t="s">
        <v>99</v>
      </c>
      <c r="O231" s="7" t="s">
        <v>110</v>
      </c>
      <c r="P231" s="7"/>
      <c r="Q231" s="7"/>
      <c r="R231" s="7"/>
    </row>
    <row r="232" customFormat="false" ht="15" hidden="false" customHeight="false" outlineLevel="0" collapsed="false">
      <c r="A232" s="7" t="s">
        <v>647</v>
      </c>
      <c r="B232" s="7" t="s">
        <v>250</v>
      </c>
      <c r="C232" s="7" t="s">
        <v>251</v>
      </c>
      <c r="D232" s="7" t="s">
        <v>195</v>
      </c>
      <c r="E232" s="7" t="s">
        <v>105</v>
      </c>
      <c r="F232" s="7" t="s">
        <v>183</v>
      </c>
      <c r="G232" s="7" t="s">
        <v>176</v>
      </c>
      <c r="H232" s="7" t="s">
        <v>278</v>
      </c>
      <c r="I232" s="7" t="s">
        <v>279</v>
      </c>
      <c r="J232" s="8" t="n">
        <v>45626</v>
      </c>
      <c r="K232" s="8" t="n">
        <v>45669</v>
      </c>
      <c r="L232" s="9" t="n">
        <f aca="false">K232-J232</f>
        <v>43</v>
      </c>
      <c r="M232" s="10" t="n">
        <v>89406.59</v>
      </c>
      <c r="N232" s="7" t="s">
        <v>99</v>
      </c>
      <c r="O232" s="7" t="s">
        <v>124</v>
      </c>
      <c r="P232" s="7"/>
      <c r="Q232" s="7"/>
      <c r="R232" s="7"/>
    </row>
    <row r="233" customFormat="false" ht="15" hidden="false" customHeight="false" outlineLevel="0" collapsed="false">
      <c r="A233" s="7" t="s">
        <v>648</v>
      </c>
      <c r="B233" s="7" t="s">
        <v>470</v>
      </c>
      <c r="C233" s="7" t="s">
        <v>471</v>
      </c>
      <c r="D233" s="7" t="s">
        <v>201</v>
      </c>
      <c r="E233" s="7" t="s">
        <v>115</v>
      </c>
      <c r="F233" s="7" t="s">
        <v>116</v>
      </c>
      <c r="G233" s="7" t="s">
        <v>144</v>
      </c>
      <c r="H233" s="7" t="s">
        <v>231</v>
      </c>
      <c r="I233" s="7" t="s">
        <v>232</v>
      </c>
      <c r="J233" s="8" t="n">
        <v>45615</v>
      </c>
      <c r="K233" s="8" t="n">
        <v>45669</v>
      </c>
      <c r="L233" s="9" t="n">
        <f aca="false">K233-J233</f>
        <v>54</v>
      </c>
      <c r="M233" s="10" t="n">
        <v>106776.43</v>
      </c>
      <c r="N233" s="7" t="s">
        <v>99</v>
      </c>
      <c r="O233" s="7" t="s">
        <v>118</v>
      </c>
      <c r="P233" s="7"/>
      <c r="Q233" s="7"/>
      <c r="R233" s="7"/>
    </row>
    <row r="234" customFormat="false" ht="15" hidden="false" customHeight="false" outlineLevel="0" collapsed="false">
      <c r="A234" s="7" t="s">
        <v>649</v>
      </c>
      <c r="B234" s="7" t="s">
        <v>91</v>
      </c>
      <c r="C234" s="7" t="s">
        <v>92</v>
      </c>
      <c r="D234" s="7" t="s">
        <v>93</v>
      </c>
      <c r="E234" s="7" t="s">
        <v>94</v>
      </c>
      <c r="F234" s="7" t="s">
        <v>136</v>
      </c>
      <c r="G234" s="7" t="s">
        <v>96</v>
      </c>
      <c r="H234" s="7" t="s">
        <v>278</v>
      </c>
      <c r="I234" s="7" t="s">
        <v>279</v>
      </c>
      <c r="J234" s="8" t="n">
        <v>45586</v>
      </c>
      <c r="K234" s="8" t="n">
        <v>45670</v>
      </c>
      <c r="L234" s="9" t="n">
        <f aca="false">K234-J234</f>
        <v>84</v>
      </c>
      <c r="M234" s="10" t="n">
        <v>232229.43</v>
      </c>
      <c r="N234" s="7" t="s">
        <v>131</v>
      </c>
      <c r="O234" s="7"/>
      <c r="P234" s="8" t="n">
        <v>45684</v>
      </c>
      <c r="Q234" s="7" t="n">
        <v>4</v>
      </c>
      <c r="R234" s="8" t="n">
        <f aca="false">EDATE(P234,Q234)</f>
        <v>45804</v>
      </c>
    </row>
    <row r="235" customFormat="false" ht="15" hidden="false" customHeight="false" outlineLevel="0" collapsed="false">
      <c r="A235" s="7" t="s">
        <v>650</v>
      </c>
      <c r="B235" s="7" t="s">
        <v>395</v>
      </c>
      <c r="C235" s="7" t="s">
        <v>396</v>
      </c>
      <c r="D235" s="7" t="s">
        <v>195</v>
      </c>
      <c r="E235" s="7" t="s">
        <v>162</v>
      </c>
      <c r="F235" s="7" t="s">
        <v>183</v>
      </c>
      <c r="G235" s="7" t="s">
        <v>107</v>
      </c>
      <c r="H235" s="7" t="s">
        <v>305</v>
      </c>
      <c r="I235" s="7" t="s">
        <v>306</v>
      </c>
      <c r="J235" s="8" t="n">
        <v>45589</v>
      </c>
      <c r="K235" s="8" t="n">
        <v>45672</v>
      </c>
      <c r="L235" s="9" t="n">
        <f aca="false">K235-J235</f>
        <v>83</v>
      </c>
      <c r="M235" s="10" t="n">
        <v>67281.92</v>
      </c>
      <c r="N235" s="7" t="s">
        <v>131</v>
      </c>
      <c r="O235" s="7"/>
      <c r="P235" s="8" t="n">
        <v>45683</v>
      </c>
      <c r="Q235" s="7" t="n">
        <v>3</v>
      </c>
      <c r="R235" s="8" t="n">
        <f aca="false">EDATE(P235,Q235)</f>
        <v>45773</v>
      </c>
    </row>
    <row r="236" customFormat="false" ht="15" hidden="false" customHeight="false" outlineLevel="0" collapsed="false">
      <c r="A236" s="7" t="s">
        <v>651</v>
      </c>
      <c r="B236" s="7" t="s">
        <v>525</v>
      </c>
      <c r="C236" s="7" t="s">
        <v>526</v>
      </c>
      <c r="D236" s="7" t="s">
        <v>114</v>
      </c>
      <c r="E236" s="7" t="s">
        <v>105</v>
      </c>
      <c r="F236" s="7" t="s">
        <v>95</v>
      </c>
      <c r="G236" s="7" t="s">
        <v>137</v>
      </c>
      <c r="H236" s="7" t="s">
        <v>180</v>
      </c>
      <c r="I236" s="7" t="s">
        <v>181</v>
      </c>
      <c r="J236" s="8" t="n">
        <v>45623</v>
      </c>
      <c r="K236" s="8" t="n">
        <v>45672</v>
      </c>
      <c r="L236" s="9" t="n">
        <f aca="false">K236-J236</f>
        <v>49</v>
      </c>
      <c r="M236" s="10" t="n">
        <v>38673.23</v>
      </c>
      <c r="N236" s="7" t="s">
        <v>99</v>
      </c>
      <c r="O236" s="7" t="s">
        <v>118</v>
      </c>
      <c r="P236" s="7"/>
      <c r="Q236" s="7"/>
      <c r="R236" s="7"/>
    </row>
    <row r="237" customFormat="false" ht="15" hidden="false" customHeight="false" outlineLevel="0" collapsed="false">
      <c r="A237" s="7" t="s">
        <v>652</v>
      </c>
      <c r="B237" s="7" t="s">
        <v>653</v>
      </c>
      <c r="C237" s="7" t="s">
        <v>654</v>
      </c>
      <c r="D237" s="7" t="s">
        <v>195</v>
      </c>
      <c r="E237" s="7" t="s">
        <v>115</v>
      </c>
      <c r="F237" s="7" t="s">
        <v>106</v>
      </c>
      <c r="G237" s="7" t="s">
        <v>96</v>
      </c>
      <c r="H237" s="7" t="s">
        <v>171</v>
      </c>
      <c r="I237" s="7" t="s">
        <v>172</v>
      </c>
      <c r="J237" s="8" t="n">
        <v>45618</v>
      </c>
      <c r="K237" s="8" t="n">
        <v>45672</v>
      </c>
      <c r="L237" s="9" t="n">
        <f aca="false">K237-J237</f>
        <v>54</v>
      </c>
      <c r="M237" s="10" t="n">
        <v>121692.19</v>
      </c>
      <c r="N237" s="7" t="s">
        <v>131</v>
      </c>
      <c r="O237" s="7"/>
      <c r="P237" s="8" t="n">
        <v>45673</v>
      </c>
      <c r="Q237" s="7" t="n">
        <v>3</v>
      </c>
      <c r="R237" s="8" t="n">
        <f aca="false">EDATE(P237,Q237)</f>
        <v>45763</v>
      </c>
    </row>
    <row r="238" customFormat="false" ht="15" hidden="false" customHeight="false" outlineLevel="0" collapsed="false">
      <c r="A238" s="7" t="s">
        <v>655</v>
      </c>
      <c r="B238" s="7" t="s">
        <v>497</v>
      </c>
      <c r="C238" s="7" t="s">
        <v>498</v>
      </c>
      <c r="D238" s="7" t="s">
        <v>135</v>
      </c>
      <c r="E238" s="7" t="s">
        <v>162</v>
      </c>
      <c r="F238" s="7" t="s">
        <v>128</v>
      </c>
      <c r="G238" s="7" t="s">
        <v>184</v>
      </c>
      <c r="H238" s="7" t="s">
        <v>108</v>
      </c>
      <c r="I238" s="7" t="s">
        <v>109</v>
      </c>
      <c r="J238" s="8" t="n">
        <v>45568</v>
      </c>
      <c r="K238" s="8" t="n">
        <v>45674</v>
      </c>
      <c r="L238" s="9" t="n">
        <f aca="false">K238-J238</f>
        <v>106</v>
      </c>
      <c r="M238" s="10" t="n">
        <v>178562.99</v>
      </c>
      <c r="N238" s="7" t="s">
        <v>131</v>
      </c>
      <c r="O238" s="7"/>
      <c r="P238" s="8" t="n">
        <v>45684</v>
      </c>
      <c r="Q238" s="7" t="n">
        <v>3</v>
      </c>
      <c r="R238" s="8" t="n">
        <f aca="false">EDATE(P238,Q238)</f>
        <v>45774</v>
      </c>
    </row>
    <row r="239" customFormat="false" ht="15" hidden="false" customHeight="false" outlineLevel="0" collapsed="false">
      <c r="A239" s="7" t="s">
        <v>656</v>
      </c>
      <c r="B239" s="7" t="s">
        <v>657</v>
      </c>
      <c r="C239" s="7" t="s">
        <v>658</v>
      </c>
      <c r="D239" s="7" t="s">
        <v>104</v>
      </c>
      <c r="E239" s="7" t="s">
        <v>94</v>
      </c>
      <c r="F239" s="7" t="s">
        <v>143</v>
      </c>
      <c r="G239" s="7" t="s">
        <v>107</v>
      </c>
      <c r="H239" s="7" t="s">
        <v>223</v>
      </c>
      <c r="I239" s="7" t="s">
        <v>224</v>
      </c>
      <c r="J239" s="8" t="n">
        <v>45624</v>
      </c>
      <c r="K239" s="8" t="n">
        <v>45681</v>
      </c>
      <c r="L239" s="9" t="n">
        <f aca="false">K239-J239</f>
        <v>57</v>
      </c>
      <c r="M239" s="10" t="n">
        <v>256565.64</v>
      </c>
      <c r="N239" s="7" t="s">
        <v>99</v>
      </c>
      <c r="O239" s="7" t="s">
        <v>118</v>
      </c>
      <c r="P239" s="7"/>
      <c r="Q239" s="7"/>
      <c r="R239" s="7"/>
    </row>
    <row r="240" customFormat="false" ht="15" hidden="false" customHeight="false" outlineLevel="0" collapsed="false">
      <c r="A240" s="7" t="s">
        <v>659</v>
      </c>
      <c r="B240" s="7" t="s">
        <v>284</v>
      </c>
      <c r="C240" s="7" t="s">
        <v>285</v>
      </c>
      <c r="D240" s="7" t="s">
        <v>201</v>
      </c>
      <c r="E240" s="7" t="s">
        <v>105</v>
      </c>
      <c r="F240" s="7" t="s">
        <v>183</v>
      </c>
      <c r="G240" s="7" t="s">
        <v>137</v>
      </c>
      <c r="H240" s="7" t="s">
        <v>278</v>
      </c>
      <c r="I240" s="7" t="s">
        <v>279</v>
      </c>
      <c r="J240" s="8" t="n">
        <v>45585</v>
      </c>
      <c r="K240" s="8" t="n">
        <v>45685</v>
      </c>
      <c r="L240" s="9" t="n">
        <f aca="false">K240-J240</f>
        <v>100</v>
      </c>
      <c r="M240" s="10" t="n">
        <v>82797.29</v>
      </c>
      <c r="N240" s="7" t="s">
        <v>131</v>
      </c>
      <c r="O240" s="7"/>
      <c r="P240" s="8" t="n">
        <v>45701</v>
      </c>
      <c r="Q240" s="7" t="n">
        <v>2</v>
      </c>
      <c r="R240" s="8" t="n">
        <f aca="false">EDATE(P240,Q240)</f>
        <v>45760</v>
      </c>
    </row>
    <row r="241" customFormat="false" ht="15" hidden="false" customHeight="false" outlineLevel="0" collapsed="false">
      <c r="A241" s="7" t="s">
        <v>660</v>
      </c>
      <c r="B241" s="7" t="s">
        <v>623</v>
      </c>
      <c r="C241" s="7" t="s">
        <v>624</v>
      </c>
      <c r="D241" s="7" t="s">
        <v>93</v>
      </c>
      <c r="E241" s="7" t="s">
        <v>115</v>
      </c>
      <c r="F241" s="7" t="s">
        <v>157</v>
      </c>
      <c r="G241" s="7" t="s">
        <v>176</v>
      </c>
      <c r="H241" s="7" t="s">
        <v>177</v>
      </c>
      <c r="I241" s="7" t="s">
        <v>178</v>
      </c>
      <c r="J241" s="8" t="n">
        <v>45609</v>
      </c>
      <c r="K241" s="8" t="n">
        <v>45685</v>
      </c>
      <c r="L241" s="9" t="n">
        <f aca="false">K241-J241</f>
        <v>76</v>
      </c>
      <c r="M241" s="10" t="n">
        <v>142108.24</v>
      </c>
      <c r="N241" s="7" t="s">
        <v>99</v>
      </c>
      <c r="O241" s="7" t="s">
        <v>219</v>
      </c>
      <c r="P241" s="7"/>
      <c r="Q241" s="7"/>
      <c r="R241" s="7"/>
    </row>
    <row r="242" customFormat="false" ht="15" hidden="false" customHeight="false" outlineLevel="0" collapsed="false">
      <c r="A242" s="7" t="s">
        <v>661</v>
      </c>
      <c r="B242" s="7" t="s">
        <v>603</v>
      </c>
      <c r="C242" s="7" t="s">
        <v>604</v>
      </c>
      <c r="D242" s="7" t="s">
        <v>195</v>
      </c>
      <c r="E242" s="7" t="s">
        <v>105</v>
      </c>
      <c r="F242" s="7" t="s">
        <v>136</v>
      </c>
      <c r="G242" s="7" t="s">
        <v>107</v>
      </c>
      <c r="H242" s="7" t="s">
        <v>145</v>
      </c>
      <c r="I242" s="7" t="s">
        <v>146</v>
      </c>
      <c r="J242" s="8" t="n">
        <v>45610</v>
      </c>
      <c r="K242" s="8" t="n">
        <v>45686</v>
      </c>
      <c r="L242" s="9" t="n">
        <f aca="false">K242-J242</f>
        <v>76</v>
      </c>
      <c r="M242" s="10" t="n">
        <v>83845.6</v>
      </c>
      <c r="N242" s="7" t="s">
        <v>131</v>
      </c>
      <c r="O242" s="7"/>
      <c r="P242" s="8" t="n">
        <v>45689</v>
      </c>
      <c r="Q242" s="7" t="n">
        <v>5</v>
      </c>
      <c r="R242" s="8" t="n">
        <f aca="false">EDATE(P242,Q242)</f>
        <v>45839</v>
      </c>
    </row>
    <row r="243" customFormat="false" ht="15" hidden="false" customHeight="false" outlineLevel="0" collapsed="false">
      <c r="A243" s="7" t="s">
        <v>662</v>
      </c>
      <c r="B243" s="7" t="s">
        <v>234</v>
      </c>
      <c r="C243" s="7" t="s">
        <v>235</v>
      </c>
      <c r="D243" s="7" t="s">
        <v>114</v>
      </c>
      <c r="E243" s="7" t="s">
        <v>115</v>
      </c>
      <c r="F243" s="7" t="s">
        <v>143</v>
      </c>
      <c r="G243" s="7" t="s">
        <v>117</v>
      </c>
      <c r="H243" s="7" t="s">
        <v>108</v>
      </c>
      <c r="I243" s="7" t="s">
        <v>109</v>
      </c>
      <c r="J243" s="8" t="n">
        <v>45589</v>
      </c>
      <c r="K243" s="8" t="n">
        <v>45688</v>
      </c>
      <c r="L243" s="9" t="n">
        <f aca="false">K243-J243</f>
        <v>99</v>
      </c>
      <c r="M243" s="10" t="n">
        <v>149460.73</v>
      </c>
      <c r="N243" s="7" t="s">
        <v>99</v>
      </c>
      <c r="O243" s="7" t="s">
        <v>100</v>
      </c>
      <c r="P243" s="7"/>
      <c r="Q243" s="7"/>
      <c r="R243" s="7"/>
    </row>
    <row r="244" customFormat="false" ht="15" hidden="false" customHeight="false" outlineLevel="0" collapsed="false">
      <c r="A244" s="7" t="s">
        <v>663</v>
      </c>
      <c r="B244" s="7" t="s">
        <v>359</v>
      </c>
      <c r="C244" s="7" t="s">
        <v>360</v>
      </c>
      <c r="D244" s="7" t="s">
        <v>114</v>
      </c>
      <c r="E244" s="7" t="s">
        <v>94</v>
      </c>
      <c r="F244" s="7" t="s">
        <v>143</v>
      </c>
      <c r="G244" s="7" t="s">
        <v>184</v>
      </c>
      <c r="H244" s="7" t="s">
        <v>177</v>
      </c>
      <c r="I244" s="7" t="s">
        <v>178</v>
      </c>
      <c r="J244" s="8" t="n">
        <v>45600</v>
      </c>
      <c r="K244" s="8" t="n">
        <v>45689</v>
      </c>
      <c r="L244" s="9" t="n">
        <f aca="false">K244-J244</f>
        <v>89</v>
      </c>
      <c r="M244" s="10" t="n">
        <v>245921.08</v>
      </c>
      <c r="N244" s="7" t="s">
        <v>99</v>
      </c>
      <c r="O244" s="7" t="s">
        <v>118</v>
      </c>
      <c r="P244" s="7"/>
      <c r="Q244" s="7"/>
      <c r="R244" s="7"/>
    </row>
    <row r="245" customFormat="false" ht="15" hidden="false" customHeight="false" outlineLevel="0" collapsed="false">
      <c r="A245" s="7" t="s">
        <v>664</v>
      </c>
      <c r="B245" s="7" t="s">
        <v>665</v>
      </c>
      <c r="C245" s="7" t="s">
        <v>666</v>
      </c>
      <c r="D245" s="7" t="s">
        <v>93</v>
      </c>
      <c r="E245" s="7" t="s">
        <v>94</v>
      </c>
      <c r="F245" s="7" t="s">
        <v>106</v>
      </c>
      <c r="G245" s="7" t="s">
        <v>137</v>
      </c>
      <c r="H245" s="7" t="s">
        <v>270</v>
      </c>
      <c r="I245" s="7" t="s">
        <v>271</v>
      </c>
      <c r="J245" s="8" t="n">
        <v>45587</v>
      </c>
      <c r="K245" s="8" t="n">
        <v>45689</v>
      </c>
      <c r="L245" s="9" t="n">
        <f aca="false">K245-J245</f>
        <v>102</v>
      </c>
      <c r="M245" s="10" t="n">
        <v>91863.68</v>
      </c>
      <c r="N245" s="7" t="s">
        <v>99</v>
      </c>
      <c r="O245" s="7" t="s">
        <v>100</v>
      </c>
      <c r="P245" s="7"/>
      <c r="Q245" s="7"/>
      <c r="R245" s="7"/>
    </row>
    <row r="246" customFormat="false" ht="15" hidden="false" customHeight="false" outlineLevel="0" collapsed="false">
      <c r="A246" s="7" t="s">
        <v>667</v>
      </c>
      <c r="B246" s="7" t="s">
        <v>362</v>
      </c>
      <c r="C246" s="7" t="s">
        <v>363</v>
      </c>
      <c r="D246" s="7" t="s">
        <v>195</v>
      </c>
      <c r="E246" s="7" t="s">
        <v>162</v>
      </c>
      <c r="F246" s="7" t="s">
        <v>116</v>
      </c>
      <c r="G246" s="7" t="s">
        <v>117</v>
      </c>
      <c r="H246" s="7" t="s">
        <v>305</v>
      </c>
      <c r="I246" s="7" t="s">
        <v>306</v>
      </c>
      <c r="J246" s="8" t="n">
        <v>45575</v>
      </c>
      <c r="K246" s="8" t="n">
        <v>45690</v>
      </c>
      <c r="L246" s="9" t="n">
        <f aca="false">K246-J246</f>
        <v>115</v>
      </c>
      <c r="M246" s="10" t="n">
        <v>190454.74</v>
      </c>
      <c r="N246" s="7" t="s">
        <v>131</v>
      </c>
      <c r="O246" s="7"/>
      <c r="P246" s="8" t="n">
        <v>45714</v>
      </c>
      <c r="Q246" s="7" t="n">
        <v>7</v>
      </c>
      <c r="R246" s="8" t="n">
        <f aca="false">EDATE(P246,Q246)</f>
        <v>45926</v>
      </c>
    </row>
    <row r="247" customFormat="false" ht="15" hidden="false" customHeight="false" outlineLevel="0" collapsed="false">
      <c r="A247" s="7" t="s">
        <v>668</v>
      </c>
      <c r="B247" s="7" t="s">
        <v>669</v>
      </c>
      <c r="C247" s="7" t="s">
        <v>670</v>
      </c>
      <c r="D247" s="7" t="s">
        <v>114</v>
      </c>
      <c r="E247" s="7" t="s">
        <v>105</v>
      </c>
      <c r="F247" s="7" t="s">
        <v>157</v>
      </c>
      <c r="G247" s="7" t="s">
        <v>107</v>
      </c>
      <c r="H247" s="7" t="s">
        <v>185</v>
      </c>
      <c r="I247" s="7" t="s">
        <v>186</v>
      </c>
      <c r="J247" s="8" t="n">
        <v>45567</v>
      </c>
      <c r="K247" s="8" t="n">
        <v>45691</v>
      </c>
      <c r="L247" s="9" t="n">
        <f aca="false">K247-J247</f>
        <v>124</v>
      </c>
      <c r="M247" s="10" t="n">
        <v>162429.07</v>
      </c>
      <c r="N247" s="7" t="s">
        <v>99</v>
      </c>
      <c r="O247" s="7" t="s">
        <v>118</v>
      </c>
      <c r="P247" s="7"/>
      <c r="Q247" s="7"/>
      <c r="R247" s="7"/>
    </row>
    <row r="248" customFormat="false" ht="15" hidden="false" customHeight="false" outlineLevel="0" collapsed="false">
      <c r="A248" s="7" t="s">
        <v>671</v>
      </c>
      <c r="B248" s="7" t="s">
        <v>291</v>
      </c>
      <c r="C248" s="7" t="s">
        <v>292</v>
      </c>
      <c r="D248" s="7" t="s">
        <v>201</v>
      </c>
      <c r="E248" s="7" t="s">
        <v>94</v>
      </c>
      <c r="F248" s="7" t="s">
        <v>116</v>
      </c>
      <c r="G248" s="7" t="s">
        <v>96</v>
      </c>
      <c r="H248" s="7" t="s">
        <v>231</v>
      </c>
      <c r="I248" s="7" t="s">
        <v>232</v>
      </c>
      <c r="J248" s="8" t="n">
        <v>45610</v>
      </c>
      <c r="K248" s="8" t="n">
        <v>45695</v>
      </c>
      <c r="L248" s="9" t="n">
        <f aca="false">K248-J248</f>
        <v>85</v>
      </c>
      <c r="M248" s="10" t="n">
        <v>53678.16</v>
      </c>
      <c r="N248" s="7" t="s">
        <v>99</v>
      </c>
      <c r="O248" s="7" t="s">
        <v>219</v>
      </c>
      <c r="P248" s="7"/>
      <c r="Q248" s="7"/>
      <c r="R248" s="7"/>
    </row>
    <row r="249" customFormat="false" ht="15" hidden="false" customHeight="false" outlineLevel="0" collapsed="false">
      <c r="A249" s="7" t="s">
        <v>672</v>
      </c>
      <c r="B249" s="7" t="s">
        <v>102</v>
      </c>
      <c r="C249" s="7" t="s">
        <v>103</v>
      </c>
      <c r="D249" s="7" t="s">
        <v>104</v>
      </c>
      <c r="E249" s="7" t="s">
        <v>105</v>
      </c>
      <c r="F249" s="7" t="s">
        <v>136</v>
      </c>
      <c r="G249" s="7" t="s">
        <v>184</v>
      </c>
      <c r="H249" s="7" t="s">
        <v>166</v>
      </c>
      <c r="I249" s="7" t="s">
        <v>167</v>
      </c>
      <c r="J249" s="8" t="n">
        <v>45598</v>
      </c>
      <c r="K249" s="8" t="n">
        <v>45700</v>
      </c>
      <c r="L249" s="9" t="n">
        <f aca="false">K249-J249</f>
        <v>102</v>
      </c>
      <c r="M249" s="10" t="n">
        <v>231534.22</v>
      </c>
      <c r="N249" s="7" t="s">
        <v>99</v>
      </c>
      <c r="O249" s="7" t="s">
        <v>219</v>
      </c>
      <c r="P249" s="7"/>
      <c r="Q249" s="7"/>
      <c r="R249" s="7"/>
    </row>
    <row r="250" customFormat="false" ht="15" hidden="false" customHeight="false" outlineLevel="0" collapsed="false">
      <c r="A250" s="7" t="s">
        <v>673</v>
      </c>
      <c r="B250" s="7" t="s">
        <v>674</v>
      </c>
      <c r="C250" s="7" t="s">
        <v>675</v>
      </c>
      <c r="D250" s="7" t="s">
        <v>151</v>
      </c>
      <c r="E250" s="7" t="s">
        <v>105</v>
      </c>
      <c r="F250" s="7" t="s">
        <v>136</v>
      </c>
      <c r="G250" s="7" t="s">
        <v>117</v>
      </c>
      <c r="H250" s="7" t="s">
        <v>97</v>
      </c>
      <c r="I250" s="7" t="s">
        <v>98</v>
      </c>
      <c r="J250" s="8" t="n">
        <v>45594</v>
      </c>
      <c r="K250" s="8" t="n">
        <v>45700</v>
      </c>
      <c r="L250" s="9" t="n">
        <f aca="false">K250-J250</f>
        <v>106</v>
      </c>
      <c r="M250" s="10" t="n">
        <v>96959.47</v>
      </c>
      <c r="N250" s="7" t="s">
        <v>131</v>
      </c>
      <c r="O250" s="7"/>
      <c r="P250" s="8" t="n">
        <v>45724</v>
      </c>
      <c r="Q250" s="7" t="n">
        <v>5</v>
      </c>
      <c r="R250" s="8" t="n">
        <f aca="false">EDATE(P250,Q250)</f>
        <v>45877</v>
      </c>
    </row>
    <row r="251" customFormat="false" ht="15" hidden="false" customHeight="false" outlineLevel="0" collapsed="false">
      <c r="A251" s="7" t="s">
        <v>676</v>
      </c>
      <c r="B251" s="7" t="s">
        <v>577</v>
      </c>
      <c r="C251" s="7" t="s">
        <v>578</v>
      </c>
      <c r="D251" s="7" t="s">
        <v>201</v>
      </c>
      <c r="E251" s="7" t="s">
        <v>94</v>
      </c>
      <c r="F251" s="7" t="s">
        <v>136</v>
      </c>
      <c r="G251" s="7" t="s">
        <v>137</v>
      </c>
      <c r="H251" s="7" t="s">
        <v>138</v>
      </c>
      <c r="I251" s="7" t="s">
        <v>139</v>
      </c>
      <c r="J251" s="8" t="n">
        <v>45586</v>
      </c>
      <c r="K251" s="8" t="n">
        <v>45701</v>
      </c>
      <c r="L251" s="9" t="n">
        <f aca="false">K251-J251</f>
        <v>115</v>
      </c>
      <c r="M251" s="10" t="n">
        <v>106089.32</v>
      </c>
      <c r="N251" s="7" t="s">
        <v>99</v>
      </c>
      <c r="O251" s="7" t="s">
        <v>110</v>
      </c>
      <c r="P251" s="7"/>
      <c r="Q251" s="7"/>
      <c r="R251" s="7"/>
    </row>
    <row r="252" customFormat="false" ht="15" hidden="false" customHeight="false" outlineLevel="0" collapsed="false">
      <c r="A252" s="7" t="s">
        <v>677</v>
      </c>
      <c r="B252" s="7" t="s">
        <v>592</v>
      </c>
      <c r="C252" s="7" t="s">
        <v>593</v>
      </c>
      <c r="D252" s="7" t="s">
        <v>114</v>
      </c>
      <c r="E252" s="7" t="s">
        <v>162</v>
      </c>
      <c r="F252" s="7" t="s">
        <v>128</v>
      </c>
      <c r="G252" s="7" t="s">
        <v>184</v>
      </c>
      <c r="H252" s="7" t="s">
        <v>205</v>
      </c>
      <c r="I252" s="7" t="s">
        <v>206</v>
      </c>
      <c r="J252" s="8" t="n">
        <v>45670</v>
      </c>
      <c r="K252" s="8" t="n">
        <v>45704</v>
      </c>
      <c r="L252" s="9" t="n">
        <f aca="false">K252-J252</f>
        <v>34</v>
      </c>
      <c r="M252" s="10" t="n">
        <v>39263.19</v>
      </c>
      <c r="N252" s="7" t="s">
        <v>99</v>
      </c>
      <c r="O252" s="7" t="s">
        <v>124</v>
      </c>
      <c r="P252" s="7"/>
      <c r="Q252" s="7"/>
      <c r="R252" s="7"/>
    </row>
    <row r="253" customFormat="false" ht="15" hidden="false" customHeight="false" outlineLevel="0" collapsed="false">
      <c r="A253" s="7" t="s">
        <v>678</v>
      </c>
      <c r="B253" s="7" t="s">
        <v>525</v>
      </c>
      <c r="C253" s="7" t="s">
        <v>526</v>
      </c>
      <c r="D253" s="7" t="s">
        <v>114</v>
      </c>
      <c r="E253" s="7" t="s">
        <v>105</v>
      </c>
      <c r="F253" s="7" t="s">
        <v>128</v>
      </c>
      <c r="G253" s="7" t="s">
        <v>144</v>
      </c>
      <c r="H253" s="7" t="s">
        <v>108</v>
      </c>
      <c r="I253" s="7" t="s">
        <v>109</v>
      </c>
      <c r="J253" s="8" t="n">
        <v>45673</v>
      </c>
      <c r="K253" s="8" t="n">
        <v>45704</v>
      </c>
      <c r="L253" s="9" t="n">
        <f aca="false">K253-J253</f>
        <v>31</v>
      </c>
      <c r="M253" s="10" t="n">
        <v>23441.81</v>
      </c>
      <c r="N253" s="7" t="s">
        <v>99</v>
      </c>
      <c r="O253" s="7" t="s">
        <v>147</v>
      </c>
      <c r="P253" s="7"/>
      <c r="Q253" s="7"/>
      <c r="R253" s="7"/>
    </row>
    <row r="254" customFormat="false" ht="15" hidden="false" customHeight="false" outlineLevel="0" collapsed="false">
      <c r="A254" s="7" t="s">
        <v>679</v>
      </c>
      <c r="B254" s="7" t="s">
        <v>680</v>
      </c>
      <c r="C254" s="7" t="s">
        <v>681</v>
      </c>
      <c r="D254" s="7" t="s">
        <v>242</v>
      </c>
      <c r="E254" s="7" t="s">
        <v>105</v>
      </c>
      <c r="F254" s="7" t="s">
        <v>128</v>
      </c>
      <c r="G254" s="7" t="s">
        <v>176</v>
      </c>
      <c r="H254" s="7" t="s">
        <v>190</v>
      </c>
      <c r="I254" s="7" t="s">
        <v>191</v>
      </c>
      <c r="J254" s="8" t="n">
        <v>45623</v>
      </c>
      <c r="K254" s="8" t="n">
        <v>45705</v>
      </c>
      <c r="L254" s="9" t="n">
        <f aca="false">K254-J254</f>
        <v>82</v>
      </c>
      <c r="M254" s="10" t="n">
        <v>73882.54</v>
      </c>
      <c r="N254" s="7" t="s">
        <v>131</v>
      </c>
      <c r="O254" s="7"/>
      <c r="P254" s="8" t="n">
        <v>45716</v>
      </c>
      <c r="Q254" s="7" t="n">
        <v>3</v>
      </c>
      <c r="R254" s="8" t="n">
        <f aca="false">EDATE(P254,Q254)</f>
        <v>45805</v>
      </c>
    </row>
    <row r="255" customFormat="false" ht="15" hidden="false" customHeight="false" outlineLevel="0" collapsed="false">
      <c r="A255" s="7" t="s">
        <v>682</v>
      </c>
      <c r="B255" s="7" t="s">
        <v>592</v>
      </c>
      <c r="C255" s="7" t="s">
        <v>593</v>
      </c>
      <c r="D255" s="7" t="s">
        <v>114</v>
      </c>
      <c r="E255" s="7" t="s">
        <v>162</v>
      </c>
      <c r="F255" s="7" t="s">
        <v>183</v>
      </c>
      <c r="G255" s="7" t="s">
        <v>107</v>
      </c>
      <c r="H255" s="7" t="s">
        <v>177</v>
      </c>
      <c r="I255" s="7" t="s">
        <v>178</v>
      </c>
      <c r="J255" s="8" t="n">
        <v>45662</v>
      </c>
      <c r="K255" s="8" t="n">
        <v>45705</v>
      </c>
      <c r="L255" s="9" t="n">
        <f aca="false">K255-J255</f>
        <v>43</v>
      </c>
      <c r="M255" s="10" t="n">
        <v>117415.83</v>
      </c>
      <c r="N255" s="7" t="s">
        <v>99</v>
      </c>
      <c r="O255" s="7" t="s">
        <v>219</v>
      </c>
      <c r="P255" s="7"/>
      <c r="Q255" s="7"/>
      <c r="R255" s="7"/>
    </row>
    <row r="256" customFormat="false" ht="15" hidden="false" customHeight="false" outlineLevel="0" collapsed="false">
      <c r="A256" s="7" t="s">
        <v>683</v>
      </c>
      <c r="B256" s="7" t="s">
        <v>512</v>
      </c>
      <c r="C256" s="7" t="s">
        <v>513</v>
      </c>
      <c r="D256" s="7" t="s">
        <v>114</v>
      </c>
      <c r="E256" s="7" t="s">
        <v>115</v>
      </c>
      <c r="F256" s="7" t="s">
        <v>183</v>
      </c>
      <c r="G256" s="7" t="s">
        <v>184</v>
      </c>
      <c r="H256" s="7" t="s">
        <v>196</v>
      </c>
      <c r="I256" s="7" t="s">
        <v>197</v>
      </c>
      <c r="J256" s="8" t="n">
        <v>45593</v>
      </c>
      <c r="K256" s="8" t="n">
        <v>45706</v>
      </c>
      <c r="L256" s="9" t="n">
        <f aca="false">K256-J256</f>
        <v>113</v>
      </c>
      <c r="M256" s="10" t="n">
        <v>62131.96</v>
      </c>
      <c r="N256" s="7" t="s">
        <v>99</v>
      </c>
      <c r="O256" s="7" t="s">
        <v>118</v>
      </c>
      <c r="P256" s="7"/>
      <c r="Q256" s="7"/>
      <c r="R256" s="7"/>
    </row>
    <row r="257" customFormat="false" ht="15" hidden="false" customHeight="false" outlineLevel="0" collapsed="false">
      <c r="A257" s="7" t="s">
        <v>684</v>
      </c>
      <c r="B257" s="7" t="s">
        <v>133</v>
      </c>
      <c r="C257" s="7" t="s">
        <v>134</v>
      </c>
      <c r="D257" s="7" t="s">
        <v>135</v>
      </c>
      <c r="E257" s="7" t="s">
        <v>94</v>
      </c>
      <c r="F257" s="7" t="s">
        <v>116</v>
      </c>
      <c r="G257" s="7" t="s">
        <v>144</v>
      </c>
      <c r="H257" s="7" t="s">
        <v>205</v>
      </c>
      <c r="I257" s="7" t="s">
        <v>206</v>
      </c>
      <c r="J257" s="8" t="n">
        <v>45608</v>
      </c>
      <c r="K257" s="8" t="n">
        <v>45706</v>
      </c>
      <c r="L257" s="9" t="n">
        <f aca="false">K257-J257</f>
        <v>98</v>
      </c>
      <c r="M257" s="10" t="n">
        <v>89365.16</v>
      </c>
      <c r="N257" s="7" t="s">
        <v>131</v>
      </c>
      <c r="O257" s="7"/>
      <c r="P257" s="8" t="n">
        <v>45711</v>
      </c>
      <c r="Q257" s="7" t="n">
        <v>6</v>
      </c>
      <c r="R257" s="8" t="n">
        <f aca="false">EDATE(P257,Q257)</f>
        <v>45892</v>
      </c>
    </row>
    <row r="258" customFormat="false" ht="15" hidden="false" customHeight="false" outlineLevel="0" collapsed="false">
      <c r="A258" s="7" t="s">
        <v>685</v>
      </c>
      <c r="B258" s="7" t="s">
        <v>569</v>
      </c>
      <c r="C258" s="7" t="s">
        <v>570</v>
      </c>
      <c r="D258" s="7" t="s">
        <v>242</v>
      </c>
      <c r="E258" s="7" t="s">
        <v>162</v>
      </c>
      <c r="F258" s="7" t="s">
        <v>95</v>
      </c>
      <c r="G258" s="7" t="s">
        <v>117</v>
      </c>
      <c r="H258" s="7" t="s">
        <v>258</v>
      </c>
      <c r="I258" s="7" t="s">
        <v>259</v>
      </c>
      <c r="J258" s="8" t="n">
        <v>45659</v>
      </c>
      <c r="K258" s="8" t="n">
        <v>45707</v>
      </c>
      <c r="L258" s="9" t="n">
        <f aca="false">K258-J258</f>
        <v>48</v>
      </c>
      <c r="M258" s="10" t="n">
        <v>132722.32</v>
      </c>
      <c r="N258" s="7" t="s">
        <v>131</v>
      </c>
      <c r="O258" s="7"/>
      <c r="P258" s="8" t="n">
        <v>45723</v>
      </c>
      <c r="Q258" s="7" t="n">
        <v>2</v>
      </c>
      <c r="R258" s="8" t="n">
        <f aca="false">EDATE(P258,Q258)</f>
        <v>45784</v>
      </c>
    </row>
    <row r="259" customFormat="false" ht="15" hidden="false" customHeight="false" outlineLevel="0" collapsed="false">
      <c r="A259" s="7" t="s">
        <v>686</v>
      </c>
      <c r="B259" s="7" t="s">
        <v>687</v>
      </c>
      <c r="C259" s="7" t="s">
        <v>688</v>
      </c>
      <c r="D259" s="7" t="s">
        <v>135</v>
      </c>
      <c r="E259" s="7" t="s">
        <v>115</v>
      </c>
      <c r="F259" s="7" t="s">
        <v>128</v>
      </c>
      <c r="G259" s="7" t="s">
        <v>144</v>
      </c>
      <c r="H259" s="7" t="s">
        <v>152</v>
      </c>
      <c r="I259" s="7" t="s">
        <v>153</v>
      </c>
      <c r="J259" s="8" t="n">
        <v>45645</v>
      </c>
      <c r="K259" s="8" t="n">
        <v>45707</v>
      </c>
      <c r="L259" s="9" t="n">
        <f aca="false">K259-J259</f>
        <v>62</v>
      </c>
      <c r="M259" s="10" t="n">
        <v>61995.44</v>
      </c>
      <c r="N259" s="7" t="s">
        <v>99</v>
      </c>
      <c r="O259" s="7" t="s">
        <v>118</v>
      </c>
      <c r="P259" s="7"/>
      <c r="Q259" s="7"/>
      <c r="R259" s="7"/>
    </row>
    <row r="260" customFormat="false" ht="15" hidden="false" customHeight="false" outlineLevel="0" collapsed="false">
      <c r="A260" s="7" t="s">
        <v>689</v>
      </c>
      <c r="B260" s="7" t="s">
        <v>347</v>
      </c>
      <c r="C260" s="7" t="s">
        <v>348</v>
      </c>
      <c r="D260" s="7" t="s">
        <v>151</v>
      </c>
      <c r="E260" s="7" t="s">
        <v>94</v>
      </c>
      <c r="F260" s="7" t="s">
        <v>116</v>
      </c>
      <c r="G260" s="7" t="s">
        <v>137</v>
      </c>
      <c r="H260" s="7" t="s">
        <v>278</v>
      </c>
      <c r="I260" s="7" t="s">
        <v>279</v>
      </c>
      <c r="J260" s="8" t="n">
        <v>45623</v>
      </c>
      <c r="K260" s="8" t="n">
        <v>45707</v>
      </c>
      <c r="L260" s="9" t="n">
        <f aca="false">K260-J260</f>
        <v>84</v>
      </c>
      <c r="M260" s="10" t="n">
        <v>123884.39</v>
      </c>
      <c r="N260" s="7" t="s">
        <v>99</v>
      </c>
      <c r="O260" s="7" t="s">
        <v>219</v>
      </c>
      <c r="P260" s="7"/>
      <c r="Q260" s="7"/>
      <c r="R260" s="7"/>
    </row>
    <row r="261" customFormat="false" ht="15" hidden="false" customHeight="false" outlineLevel="0" collapsed="false">
      <c r="A261" s="7" t="s">
        <v>690</v>
      </c>
      <c r="B261" s="7" t="s">
        <v>529</v>
      </c>
      <c r="C261" s="7" t="s">
        <v>530</v>
      </c>
      <c r="D261" s="7" t="s">
        <v>195</v>
      </c>
      <c r="E261" s="7" t="s">
        <v>115</v>
      </c>
      <c r="F261" s="7" t="s">
        <v>183</v>
      </c>
      <c r="G261" s="7" t="s">
        <v>96</v>
      </c>
      <c r="H261" s="7" t="s">
        <v>97</v>
      </c>
      <c r="I261" s="7" t="s">
        <v>98</v>
      </c>
      <c r="J261" s="8" t="n">
        <v>45623</v>
      </c>
      <c r="K261" s="8" t="n">
        <v>45710</v>
      </c>
      <c r="L261" s="9" t="n">
        <f aca="false">K261-J261</f>
        <v>87</v>
      </c>
      <c r="M261" s="10" t="n">
        <v>99051.6</v>
      </c>
      <c r="N261" s="7" t="s">
        <v>99</v>
      </c>
      <c r="O261" s="7" t="s">
        <v>147</v>
      </c>
      <c r="P261" s="7"/>
      <c r="Q261" s="7"/>
      <c r="R261" s="7"/>
    </row>
    <row r="262" customFormat="false" ht="15" hidden="false" customHeight="false" outlineLevel="0" collapsed="false">
      <c r="A262" s="7" t="s">
        <v>691</v>
      </c>
      <c r="B262" s="7" t="s">
        <v>253</v>
      </c>
      <c r="C262" s="7" t="s">
        <v>254</v>
      </c>
      <c r="D262" s="7" t="s">
        <v>242</v>
      </c>
      <c r="E262" s="7" t="s">
        <v>105</v>
      </c>
      <c r="F262" s="7" t="s">
        <v>183</v>
      </c>
      <c r="G262" s="7" t="s">
        <v>176</v>
      </c>
      <c r="H262" s="7" t="s">
        <v>152</v>
      </c>
      <c r="I262" s="7" t="s">
        <v>153</v>
      </c>
      <c r="J262" s="8" t="n">
        <v>45617</v>
      </c>
      <c r="K262" s="8" t="n">
        <v>45712</v>
      </c>
      <c r="L262" s="9" t="n">
        <f aca="false">K262-J262</f>
        <v>95</v>
      </c>
      <c r="M262" s="10" t="n">
        <v>59360.3</v>
      </c>
      <c r="N262" s="7" t="s">
        <v>99</v>
      </c>
      <c r="O262" s="7" t="s">
        <v>147</v>
      </c>
      <c r="P262" s="7"/>
      <c r="Q262" s="7"/>
      <c r="R262" s="7"/>
    </row>
    <row r="263" customFormat="false" ht="15" hidden="false" customHeight="false" outlineLevel="0" collapsed="false">
      <c r="A263" s="7" t="s">
        <v>692</v>
      </c>
      <c r="B263" s="7" t="s">
        <v>529</v>
      </c>
      <c r="C263" s="7" t="s">
        <v>530</v>
      </c>
      <c r="D263" s="7" t="s">
        <v>195</v>
      </c>
      <c r="E263" s="7" t="s">
        <v>115</v>
      </c>
      <c r="F263" s="7" t="s">
        <v>116</v>
      </c>
      <c r="G263" s="7" t="s">
        <v>176</v>
      </c>
      <c r="H263" s="7" t="s">
        <v>190</v>
      </c>
      <c r="I263" s="7" t="s">
        <v>191</v>
      </c>
      <c r="J263" s="8" t="n">
        <v>45623</v>
      </c>
      <c r="K263" s="8" t="n">
        <v>45715</v>
      </c>
      <c r="L263" s="9" t="n">
        <f aca="false">K263-J263</f>
        <v>92</v>
      </c>
      <c r="M263" s="10" t="n">
        <v>136426.2</v>
      </c>
      <c r="N263" s="7" t="s">
        <v>131</v>
      </c>
      <c r="O263" s="7"/>
      <c r="P263" s="8" t="n">
        <v>45729</v>
      </c>
      <c r="Q263" s="7" t="n">
        <v>7</v>
      </c>
      <c r="R263" s="8" t="n">
        <f aca="false">EDATE(P263,Q263)</f>
        <v>45943</v>
      </c>
    </row>
    <row r="264" customFormat="false" ht="15" hidden="false" customHeight="false" outlineLevel="0" collapsed="false">
      <c r="A264" s="7" t="s">
        <v>693</v>
      </c>
      <c r="B264" s="7" t="s">
        <v>535</v>
      </c>
      <c r="C264" s="7" t="s">
        <v>536</v>
      </c>
      <c r="D264" s="7" t="s">
        <v>104</v>
      </c>
      <c r="E264" s="7" t="s">
        <v>105</v>
      </c>
      <c r="F264" s="7" t="s">
        <v>157</v>
      </c>
      <c r="G264" s="7" t="s">
        <v>107</v>
      </c>
      <c r="H264" s="7" t="s">
        <v>213</v>
      </c>
      <c r="I264" s="7" t="s">
        <v>214</v>
      </c>
      <c r="J264" s="8" t="n">
        <v>45659</v>
      </c>
      <c r="K264" s="8" t="n">
        <v>45717</v>
      </c>
      <c r="L264" s="9" t="n">
        <f aca="false">K264-J264</f>
        <v>58</v>
      </c>
      <c r="M264" s="10" t="n">
        <v>40117.68</v>
      </c>
      <c r="N264" s="7" t="s">
        <v>99</v>
      </c>
      <c r="O264" s="7" t="s">
        <v>147</v>
      </c>
      <c r="P264" s="7"/>
      <c r="Q264" s="7"/>
      <c r="R264" s="7"/>
    </row>
    <row r="265" customFormat="false" ht="15" hidden="false" customHeight="false" outlineLevel="0" collapsed="false">
      <c r="A265" s="7" t="s">
        <v>694</v>
      </c>
      <c r="B265" s="7" t="s">
        <v>388</v>
      </c>
      <c r="C265" s="7" t="s">
        <v>389</v>
      </c>
      <c r="D265" s="7" t="s">
        <v>201</v>
      </c>
      <c r="E265" s="7" t="s">
        <v>94</v>
      </c>
      <c r="F265" s="7" t="s">
        <v>116</v>
      </c>
      <c r="G265" s="7" t="s">
        <v>117</v>
      </c>
      <c r="H265" s="7" t="s">
        <v>213</v>
      </c>
      <c r="I265" s="7" t="s">
        <v>214</v>
      </c>
      <c r="J265" s="8" t="n">
        <v>45673</v>
      </c>
      <c r="K265" s="8" t="n">
        <v>45717</v>
      </c>
      <c r="L265" s="9" t="n">
        <f aca="false">K265-J265</f>
        <v>44</v>
      </c>
      <c r="M265" s="10" t="n">
        <v>48838.5</v>
      </c>
      <c r="N265" s="7" t="s">
        <v>131</v>
      </c>
      <c r="O265" s="7"/>
      <c r="P265" s="8" t="n">
        <v>45734</v>
      </c>
      <c r="Q265" s="7" t="n">
        <v>9</v>
      </c>
      <c r="R265" s="8" t="n">
        <f aca="false">EDATE(P265,Q265)</f>
        <v>46009</v>
      </c>
    </row>
    <row r="266" customFormat="false" ht="15" hidden="false" customHeight="false" outlineLevel="0" collapsed="false">
      <c r="A266" s="7" t="s">
        <v>695</v>
      </c>
      <c r="B266" s="7" t="s">
        <v>409</v>
      </c>
      <c r="C266" s="7" t="s">
        <v>410</v>
      </c>
      <c r="D266" s="7" t="s">
        <v>114</v>
      </c>
      <c r="E266" s="7" t="s">
        <v>94</v>
      </c>
      <c r="F266" s="7" t="s">
        <v>116</v>
      </c>
      <c r="G266" s="7" t="s">
        <v>137</v>
      </c>
      <c r="H266" s="7" t="s">
        <v>190</v>
      </c>
      <c r="I266" s="7" t="s">
        <v>191</v>
      </c>
      <c r="J266" s="8" t="n">
        <v>45619</v>
      </c>
      <c r="K266" s="8" t="n">
        <v>45722</v>
      </c>
      <c r="L266" s="9" t="n">
        <f aca="false">K266-J266</f>
        <v>103</v>
      </c>
      <c r="M266" s="10" t="n">
        <v>234698.61</v>
      </c>
      <c r="N266" s="7" t="s">
        <v>99</v>
      </c>
      <c r="O266" s="7" t="s">
        <v>100</v>
      </c>
      <c r="P266" s="7"/>
      <c r="Q266" s="7"/>
      <c r="R266" s="7"/>
    </row>
    <row r="267" customFormat="false" ht="15" hidden="false" customHeight="false" outlineLevel="0" collapsed="false">
      <c r="A267" s="7" t="s">
        <v>696</v>
      </c>
      <c r="B267" s="7" t="s">
        <v>359</v>
      </c>
      <c r="C267" s="7" t="s">
        <v>360</v>
      </c>
      <c r="D267" s="7" t="s">
        <v>114</v>
      </c>
      <c r="E267" s="7" t="s">
        <v>94</v>
      </c>
      <c r="F267" s="7" t="s">
        <v>136</v>
      </c>
      <c r="G267" s="7" t="s">
        <v>137</v>
      </c>
      <c r="H267" s="7" t="s">
        <v>97</v>
      </c>
      <c r="I267" s="7" t="s">
        <v>98</v>
      </c>
      <c r="J267" s="8" t="n">
        <v>45658</v>
      </c>
      <c r="K267" s="8" t="n">
        <v>45723</v>
      </c>
      <c r="L267" s="9" t="n">
        <f aca="false">K267-J267</f>
        <v>65</v>
      </c>
      <c r="M267" s="10" t="n">
        <v>94082.53</v>
      </c>
      <c r="N267" s="7" t="s">
        <v>131</v>
      </c>
      <c r="O267" s="7"/>
      <c r="P267" s="8" t="n">
        <v>45733</v>
      </c>
      <c r="Q267" s="7" t="n">
        <v>5</v>
      </c>
      <c r="R267" s="8" t="n">
        <f aca="false">EDATE(P267,Q267)</f>
        <v>45886</v>
      </c>
    </row>
    <row r="268" customFormat="false" ht="15" hidden="false" customHeight="false" outlineLevel="0" collapsed="false">
      <c r="A268" s="7" t="s">
        <v>697</v>
      </c>
      <c r="B268" s="7" t="s">
        <v>443</v>
      </c>
      <c r="C268" s="7" t="s">
        <v>444</v>
      </c>
      <c r="D268" s="7" t="s">
        <v>201</v>
      </c>
      <c r="E268" s="7" t="s">
        <v>105</v>
      </c>
      <c r="F268" s="7" t="s">
        <v>95</v>
      </c>
      <c r="G268" s="7" t="s">
        <v>184</v>
      </c>
      <c r="H268" s="7" t="s">
        <v>305</v>
      </c>
      <c r="I268" s="7" t="s">
        <v>306</v>
      </c>
      <c r="J268" s="8" t="n">
        <v>45634</v>
      </c>
      <c r="K268" s="8" t="n">
        <v>45724</v>
      </c>
      <c r="L268" s="9" t="n">
        <f aca="false">K268-J268</f>
        <v>90</v>
      </c>
      <c r="M268" s="10" t="n">
        <v>217523.77</v>
      </c>
      <c r="N268" s="7" t="s">
        <v>99</v>
      </c>
      <c r="O268" s="7" t="s">
        <v>124</v>
      </c>
      <c r="P268" s="7"/>
      <c r="Q268" s="7"/>
      <c r="R268" s="7"/>
    </row>
    <row r="269" customFormat="false" ht="15" hidden="false" customHeight="false" outlineLevel="0" collapsed="false">
      <c r="A269" s="7" t="s">
        <v>698</v>
      </c>
      <c r="B269" s="7" t="s">
        <v>273</v>
      </c>
      <c r="C269" s="7" t="s">
        <v>274</v>
      </c>
      <c r="D269" s="7" t="s">
        <v>195</v>
      </c>
      <c r="E269" s="7" t="s">
        <v>94</v>
      </c>
      <c r="F269" s="7" t="s">
        <v>116</v>
      </c>
      <c r="G269" s="7" t="s">
        <v>144</v>
      </c>
      <c r="H269" s="7" t="s">
        <v>205</v>
      </c>
      <c r="I269" s="7" t="s">
        <v>206</v>
      </c>
      <c r="J269" s="8" t="n">
        <v>45630</v>
      </c>
      <c r="K269" s="8" t="n">
        <v>45724</v>
      </c>
      <c r="L269" s="9" t="n">
        <f aca="false">K269-J269</f>
        <v>94</v>
      </c>
      <c r="M269" s="10" t="n">
        <v>148185.47</v>
      </c>
      <c r="N269" s="7" t="s">
        <v>99</v>
      </c>
      <c r="O269" s="7" t="s">
        <v>110</v>
      </c>
      <c r="P269" s="7"/>
      <c r="Q269" s="7"/>
      <c r="R269" s="7"/>
    </row>
    <row r="270" customFormat="false" ht="15" hidden="false" customHeight="false" outlineLevel="0" collapsed="false">
      <c r="A270" s="7" t="s">
        <v>699</v>
      </c>
      <c r="B270" s="7" t="s">
        <v>447</v>
      </c>
      <c r="C270" s="7" t="s">
        <v>448</v>
      </c>
      <c r="D270" s="7" t="s">
        <v>93</v>
      </c>
      <c r="E270" s="7" t="s">
        <v>115</v>
      </c>
      <c r="F270" s="7" t="s">
        <v>143</v>
      </c>
      <c r="G270" s="7" t="s">
        <v>144</v>
      </c>
      <c r="H270" s="7" t="s">
        <v>402</v>
      </c>
      <c r="I270" s="7" t="s">
        <v>403</v>
      </c>
      <c r="J270" s="8" t="n">
        <v>45627</v>
      </c>
      <c r="K270" s="8" t="n">
        <v>45726</v>
      </c>
      <c r="L270" s="9" t="n">
        <f aca="false">K270-J270</f>
        <v>99</v>
      </c>
      <c r="M270" s="10" t="n">
        <v>63120.12</v>
      </c>
      <c r="N270" s="7" t="s">
        <v>99</v>
      </c>
      <c r="O270" s="7" t="s">
        <v>147</v>
      </c>
      <c r="P270" s="7"/>
      <c r="Q270" s="7"/>
      <c r="R270" s="7"/>
    </row>
    <row r="271" customFormat="false" ht="15" hidden="false" customHeight="false" outlineLevel="0" collapsed="false">
      <c r="A271" s="7" t="s">
        <v>700</v>
      </c>
      <c r="B271" s="7" t="s">
        <v>443</v>
      </c>
      <c r="C271" s="7" t="s">
        <v>444</v>
      </c>
      <c r="D271" s="7" t="s">
        <v>201</v>
      </c>
      <c r="E271" s="7" t="s">
        <v>105</v>
      </c>
      <c r="F271" s="7" t="s">
        <v>116</v>
      </c>
      <c r="G271" s="7" t="s">
        <v>107</v>
      </c>
      <c r="H271" s="7" t="s">
        <v>205</v>
      </c>
      <c r="I271" s="7" t="s">
        <v>206</v>
      </c>
      <c r="J271" s="8" t="n">
        <v>45632</v>
      </c>
      <c r="K271" s="8" t="n">
        <v>45728</v>
      </c>
      <c r="L271" s="9" t="n">
        <f aca="false">K271-J271</f>
        <v>96</v>
      </c>
      <c r="M271" s="10" t="n">
        <v>61119.58</v>
      </c>
      <c r="N271" s="7" t="s">
        <v>99</v>
      </c>
      <c r="O271" s="7" t="s">
        <v>219</v>
      </c>
      <c r="P271" s="7"/>
      <c r="Q271" s="7"/>
      <c r="R271" s="7"/>
    </row>
    <row r="272" customFormat="false" ht="15" hidden="false" customHeight="false" outlineLevel="0" collapsed="false">
      <c r="A272" s="7" t="s">
        <v>701</v>
      </c>
      <c r="B272" s="7" t="s">
        <v>126</v>
      </c>
      <c r="C272" s="7" t="s">
        <v>127</v>
      </c>
      <c r="D272" s="7" t="s">
        <v>104</v>
      </c>
      <c r="E272" s="7" t="s">
        <v>105</v>
      </c>
      <c r="F272" s="7" t="s">
        <v>128</v>
      </c>
      <c r="G272" s="7" t="s">
        <v>107</v>
      </c>
      <c r="H272" s="7" t="s">
        <v>145</v>
      </c>
      <c r="I272" s="7" t="s">
        <v>146</v>
      </c>
      <c r="J272" s="8" t="n">
        <v>45650</v>
      </c>
      <c r="K272" s="8" t="n">
        <v>45729</v>
      </c>
      <c r="L272" s="9" t="n">
        <f aca="false">K272-J272</f>
        <v>79</v>
      </c>
      <c r="M272" s="10" t="n">
        <v>97146.28</v>
      </c>
      <c r="N272" s="7" t="s">
        <v>99</v>
      </c>
      <c r="O272" s="7" t="s">
        <v>147</v>
      </c>
      <c r="P272" s="7"/>
      <c r="Q272" s="7"/>
      <c r="R272" s="7"/>
    </row>
    <row r="273" customFormat="false" ht="15" hidden="false" customHeight="false" outlineLevel="0" collapsed="false">
      <c r="A273" s="7" t="s">
        <v>702</v>
      </c>
      <c r="B273" s="7" t="s">
        <v>221</v>
      </c>
      <c r="C273" s="7" t="s">
        <v>222</v>
      </c>
      <c r="D273" s="7" t="s">
        <v>135</v>
      </c>
      <c r="E273" s="7" t="s">
        <v>162</v>
      </c>
      <c r="F273" s="7" t="s">
        <v>106</v>
      </c>
      <c r="G273" s="7" t="s">
        <v>96</v>
      </c>
      <c r="H273" s="7" t="s">
        <v>205</v>
      </c>
      <c r="I273" s="7" t="s">
        <v>206</v>
      </c>
      <c r="J273" s="8" t="n">
        <v>45660</v>
      </c>
      <c r="K273" s="8" t="n">
        <v>45729</v>
      </c>
      <c r="L273" s="9" t="n">
        <f aca="false">K273-J273</f>
        <v>69</v>
      </c>
      <c r="M273" s="10" t="n">
        <v>132350.62</v>
      </c>
      <c r="N273" s="7" t="s">
        <v>99</v>
      </c>
      <c r="O273" s="7" t="s">
        <v>118</v>
      </c>
      <c r="P273" s="7"/>
      <c r="Q273" s="7"/>
      <c r="R273" s="7"/>
    </row>
    <row r="274" customFormat="false" ht="15" hidden="false" customHeight="false" outlineLevel="0" collapsed="false">
      <c r="A274" s="7" t="s">
        <v>703</v>
      </c>
      <c r="B274" s="7" t="s">
        <v>221</v>
      </c>
      <c r="C274" s="7" t="s">
        <v>222</v>
      </c>
      <c r="D274" s="7" t="s">
        <v>135</v>
      </c>
      <c r="E274" s="7" t="s">
        <v>162</v>
      </c>
      <c r="F274" s="7" t="s">
        <v>157</v>
      </c>
      <c r="G274" s="7" t="s">
        <v>144</v>
      </c>
      <c r="H274" s="7" t="s">
        <v>258</v>
      </c>
      <c r="I274" s="7" t="s">
        <v>259</v>
      </c>
      <c r="J274" s="8" t="n">
        <v>45629</v>
      </c>
      <c r="K274" s="8" t="n">
        <v>45732</v>
      </c>
      <c r="L274" s="9" t="n">
        <f aca="false">K274-J274</f>
        <v>103</v>
      </c>
      <c r="M274" s="10" t="n">
        <v>79740.63</v>
      </c>
      <c r="N274" s="7" t="s">
        <v>99</v>
      </c>
      <c r="O274" s="7" t="s">
        <v>124</v>
      </c>
      <c r="P274" s="7"/>
      <c r="Q274" s="7"/>
      <c r="R274" s="7"/>
    </row>
    <row r="275" customFormat="false" ht="15" hidden="false" customHeight="false" outlineLevel="0" collapsed="false">
      <c r="A275" s="7" t="s">
        <v>704</v>
      </c>
      <c r="B275" s="7" t="s">
        <v>409</v>
      </c>
      <c r="C275" s="7" t="s">
        <v>410</v>
      </c>
      <c r="D275" s="7" t="s">
        <v>114</v>
      </c>
      <c r="E275" s="7" t="s">
        <v>94</v>
      </c>
      <c r="F275" s="7" t="s">
        <v>143</v>
      </c>
      <c r="G275" s="7" t="s">
        <v>137</v>
      </c>
      <c r="H275" s="7" t="s">
        <v>402</v>
      </c>
      <c r="I275" s="7" t="s">
        <v>403</v>
      </c>
      <c r="J275" s="8" t="n">
        <v>45654</v>
      </c>
      <c r="K275" s="8" t="n">
        <v>45733</v>
      </c>
      <c r="L275" s="9" t="n">
        <f aca="false">K275-J275</f>
        <v>79</v>
      </c>
      <c r="M275" s="10" t="n">
        <v>60475.65</v>
      </c>
      <c r="N275" s="7" t="s">
        <v>99</v>
      </c>
      <c r="O275" s="7" t="s">
        <v>110</v>
      </c>
      <c r="P275" s="7"/>
      <c r="Q275" s="7"/>
      <c r="R275" s="7"/>
    </row>
    <row r="276" customFormat="false" ht="15" hidden="false" customHeight="false" outlineLevel="0" collapsed="false">
      <c r="A276" s="7" t="s">
        <v>705</v>
      </c>
      <c r="B276" s="7" t="s">
        <v>356</v>
      </c>
      <c r="C276" s="7" t="s">
        <v>357</v>
      </c>
      <c r="D276" s="7" t="s">
        <v>114</v>
      </c>
      <c r="E276" s="7" t="s">
        <v>105</v>
      </c>
      <c r="F276" s="7" t="s">
        <v>143</v>
      </c>
      <c r="G276" s="7" t="s">
        <v>176</v>
      </c>
      <c r="H276" s="7" t="s">
        <v>223</v>
      </c>
      <c r="I276" s="7" t="s">
        <v>224</v>
      </c>
      <c r="J276" s="8" t="n">
        <v>45642</v>
      </c>
      <c r="K276" s="8" t="n">
        <v>45733</v>
      </c>
      <c r="L276" s="9" t="n">
        <f aca="false">K276-J276</f>
        <v>91</v>
      </c>
      <c r="M276" s="10" t="n">
        <v>181824.14</v>
      </c>
      <c r="N276" s="7" t="s">
        <v>99</v>
      </c>
      <c r="O276" s="7" t="s">
        <v>147</v>
      </c>
      <c r="P276" s="7"/>
      <c r="Q276" s="7"/>
      <c r="R276" s="7"/>
    </row>
    <row r="277" customFormat="false" ht="15" hidden="false" customHeight="false" outlineLevel="0" collapsed="false">
      <c r="A277" s="7" t="s">
        <v>706</v>
      </c>
      <c r="B277" s="7" t="s">
        <v>284</v>
      </c>
      <c r="C277" s="7" t="s">
        <v>285</v>
      </c>
      <c r="D277" s="7" t="s">
        <v>201</v>
      </c>
      <c r="E277" s="7" t="s">
        <v>105</v>
      </c>
      <c r="F277" s="7" t="s">
        <v>143</v>
      </c>
      <c r="G277" s="7" t="s">
        <v>144</v>
      </c>
      <c r="H277" s="7" t="s">
        <v>190</v>
      </c>
      <c r="I277" s="7" t="s">
        <v>191</v>
      </c>
      <c r="J277" s="8" t="n">
        <v>45677</v>
      </c>
      <c r="K277" s="8" t="n">
        <v>45734</v>
      </c>
      <c r="L277" s="9" t="n">
        <f aca="false">K277-J277</f>
        <v>57</v>
      </c>
      <c r="M277" s="10" t="n">
        <v>88096.42</v>
      </c>
      <c r="N277" s="7" t="s">
        <v>99</v>
      </c>
      <c r="O277" s="7" t="s">
        <v>124</v>
      </c>
      <c r="P277" s="7"/>
      <c r="Q277" s="7"/>
      <c r="R277" s="7"/>
    </row>
    <row r="278" customFormat="false" ht="15" hidden="false" customHeight="false" outlineLevel="0" collapsed="false">
      <c r="A278" s="7" t="s">
        <v>707</v>
      </c>
      <c r="B278" s="7" t="s">
        <v>102</v>
      </c>
      <c r="C278" s="7" t="s">
        <v>103</v>
      </c>
      <c r="D278" s="7" t="s">
        <v>104</v>
      </c>
      <c r="E278" s="7" t="s">
        <v>105</v>
      </c>
      <c r="F278" s="7" t="s">
        <v>157</v>
      </c>
      <c r="G278" s="7" t="s">
        <v>144</v>
      </c>
      <c r="H278" s="7" t="s">
        <v>138</v>
      </c>
      <c r="I278" s="7" t="s">
        <v>139</v>
      </c>
      <c r="J278" s="8" t="n">
        <v>45647</v>
      </c>
      <c r="K278" s="8" t="n">
        <v>45738</v>
      </c>
      <c r="L278" s="9" t="n">
        <f aca="false">K278-J278</f>
        <v>91</v>
      </c>
      <c r="M278" s="10" t="n">
        <v>71936.36</v>
      </c>
      <c r="N278" s="7" t="s">
        <v>99</v>
      </c>
      <c r="O278" s="7" t="s">
        <v>100</v>
      </c>
      <c r="P278" s="7"/>
      <c r="Q278" s="7"/>
      <c r="R278" s="7"/>
    </row>
    <row r="279" customFormat="false" ht="15" hidden="false" customHeight="false" outlineLevel="0" collapsed="false">
      <c r="A279" s="7" t="s">
        <v>708</v>
      </c>
      <c r="B279" s="7" t="s">
        <v>481</v>
      </c>
      <c r="C279" s="7" t="s">
        <v>482</v>
      </c>
      <c r="D279" s="7" t="s">
        <v>114</v>
      </c>
      <c r="E279" s="7" t="s">
        <v>162</v>
      </c>
      <c r="F279" s="7" t="s">
        <v>106</v>
      </c>
      <c r="G279" s="7" t="s">
        <v>184</v>
      </c>
      <c r="H279" s="7" t="s">
        <v>258</v>
      </c>
      <c r="I279" s="7" t="s">
        <v>259</v>
      </c>
      <c r="J279" s="8" t="n">
        <v>45645</v>
      </c>
      <c r="K279" s="8" t="n">
        <v>45738</v>
      </c>
      <c r="L279" s="9" t="n">
        <f aca="false">K279-J279</f>
        <v>93</v>
      </c>
      <c r="M279" s="10" t="n">
        <v>99927.45</v>
      </c>
      <c r="N279" s="7" t="s">
        <v>131</v>
      </c>
      <c r="O279" s="7"/>
      <c r="P279" s="8" t="n">
        <v>45761</v>
      </c>
      <c r="Q279" s="7" t="n">
        <v>5</v>
      </c>
      <c r="R279" s="8" t="n">
        <f aca="false">EDATE(P279,Q279)</f>
        <v>45914</v>
      </c>
    </row>
    <row r="280" customFormat="false" ht="15" hidden="false" customHeight="false" outlineLevel="0" collapsed="false">
      <c r="A280" s="7" t="s">
        <v>709</v>
      </c>
      <c r="B280" s="7" t="s">
        <v>606</v>
      </c>
      <c r="C280" s="7" t="s">
        <v>607</v>
      </c>
      <c r="D280" s="7" t="s">
        <v>135</v>
      </c>
      <c r="E280" s="7" t="s">
        <v>105</v>
      </c>
      <c r="F280" s="7" t="s">
        <v>116</v>
      </c>
      <c r="G280" s="7" t="s">
        <v>144</v>
      </c>
      <c r="H280" s="7" t="s">
        <v>177</v>
      </c>
      <c r="I280" s="7" t="s">
        <v>178</v>
      </c>
      <c r="J280" s="8" t="n">
        <v>45672</v>
      </c>
      <c r="K280" s="8" t="n">
        <v>45739</v>
      </c>
      <c r="L280" s="9" t="n">
        <f aca="false">K280-J280</f>
        <v>67</v>
      </c>
      <c r="M280" s="10" t="n">
        <v>159651.68</v>
      </c>
      <c r="N280" s="7" t="s">
        <v>131</v>
      </c>
      <c r="O280" s="7"/>
      <c r="P280" s="8" t="n">
        <v>45757</v>
      </c>
      <c r="Q280" s="7" t="n">
        <v>6</v>
      </c>
      <c r="R280" s="8" t="n">
        <f aca="false">EDATE(P280,Q280)</f>
        <v>45940</v>
      </c>
    </row>
    <row r="281" customFormat="false" ht="15" hidden="false" customHeight="false" outlineLevel="0" collapsed="false">
      <c r="A281" s="7" t="s">
        <v>710</v>
      </c>
      <c r="B281" s="7" t="s">
        <v>318</v>
      </c>
      <c r="C281" s="7" t="s">
        <v>319</v>
      </c>
      <c r="D281" s="7" t="s">
        <v>114</v>
      </c>
      <c r="E281" s="7" t="s">
        <v>94</v>
      </c>
      <c r="F281" s="7" t="s">
        <v>183</v>
      </c>
      <c r="G281" s="7" t="s">
        <v>107</v>
      </c>
      <c r="H281" s="7" t="s">
        <v>180</v>
      </c>
      <c r="I281" s="7" t="s">
        <v>181</v>
      </c>
      <c r="J281" s="8" t="n">
        <v>45693</v>
      </c>
      <c r="K281" s="8" t="n">
        <v>45743</v>
      </c>
      <c r="L281" s="9" t="n">
        <f aca="false">K281-J281</f>
        <v>50</v>
      </c>
      <c r="M281" s="10" t="n">
        <v>35783.05</v>
      </c>
      <c r="N281" s="7" t="s">
        <v>131</v>
      </c>
      <c r="O281" s="7"/>
      <c r="P281" s="8" t="n">
        <v>45765</v>
      </c>
      <c r="Q281" s="7" t="n">
        <v>3</v>
      </c>
      <c r="R281" s="8" t="n">
        <f aca="false">EDATE(P281,Q281)</f>
        <v>45856</v>
      </c>
    </row>
    <row r="282" customFormat="false" ht="15" hidden="false" customHeight="false" outlineLevel="0" collapsed="false">
      <c r="A282" s="7" t="s">
        <v>711</v>
      </c>
      <c r="B282" s="7" t="s">
        <v>509</v>
      </c>
      <c r="C282" s="7" t="s">
        <v>510</v>
      </c>
      <c r="D282" s="7" t="s">
        <v>104</v>
      </c>
      <c r="E282" s="7" t="s">
        <v>162</v>
      </c>
      <c r="F282" s="7" t="s">
        <v>143</v>
      </c>
      <c r="G282" s="7" t="s">
        <v>144</v>
      </c>
      <c r="H282" s="7" t="s">
        <v>270</v>
      </c>
      <c r="I282" s="7" t="s">
        <v>271</v>
      </c>
      <c r="J282" s="8" t="n">
        <v>45672</v>
      </c>
      <c r="K282" s="8" t="n">
        <v>45744</v>
      </c>
      <c r="L282" s="9" t="n">
        <f aca="false">K282-J282</f>
        <v>72</v>
      </c>
      <c r="M282" s="10" t="n">
        <v>101160.45</v>
      </c>
      <c r="N282" s="7" t="s">
        <v>131</v>
      </c>
      <c r="O282" s="7"/>
      <c r="P282" s="8" t="n">
        <v>45761</v>
      </c>
      <c r="Q282" s="7" t="n">
        <v>5</v>
      </c>
      <c r="R282" s="8" t="n">
        <f aca="false">EDATE(P282,Q282)</f>
        <v>45914</v>
      </c>
    </row>
    <row r="283" customFormat="false" ht="15" hidden="false" customHeight="false" outlineLevel="0" collapsed="false">
      <c r="A283" s="7" t="s">
        <v>712</v>
      </c>
      <c r="B283" s="7" t="s">
        <v>141</v>
      </c>
      <c r="C283" s="7" t="s">
        <v>142</v>
      </c>
      <c r="D283" s="7" t="s">
        <v>104</v>
      </c>
      <c r="E283" s="7" t="s">
        <v>105</v>
      </c>
      <c r="F283" s="7" t="s">
        <v>106</v>
      </c>
      <c r="G283" s="7" t="s">
        <v>107</v>
      </c>
      <c r="H283" s="7" t="s">
        <v>205</v>
      </c>
      <c r="I283" s="7" t="s">
        <v>206</v>
      </c>
      <c r="J283" s="8" t="n">
        <v>45631</v>
      </c>
      <c r="K283" s="8" t="n">
        <v>45746</v>
      </c>
      <c r="L283" s="9" t="n">
        <f aca="false">K283-J283</f>
        <v>115</v>
      </c>
      <c r="M283" s="10" t="n">
        <v>131967.9</v>
      </c>
      <c r="N283" s="7" t="s">
        <v>131</v>
      </c>
      <c r="O283" s="7"/>
      <c r="P283" s="8" t="n">
        <v>45761</v>
      </c>
      <c r="Q283" s="7" t="n">
        <v>4</v>
      </c>
      <c r="R283" s="8" t="n">
        <f aca="false">EDATE(P283,Q283)</f>
        <v>45883</v>
      </c>
    </row>
    <row r="284" customFormat="false" ht="15" hidden="false" customHeight="false" outlineLevel="0" collapsed="false">
      <c r="A284" s="7" t="s">
        <v>713</v>
      </c>
      <c r="B284" s="7" t="s">
        <v>714</v>
      </c>
      <c r="C284" s="7" t="s">
        <v>715</v>
      </c>
      <c r="D284" s="7" t="s">
        <v>93</v>
      </c>
      <c r="E284" s="7" t="s">
        <v>105</v>
      </c>
      <c r="F284" s="7" t="s">
        <v>106</v>
      </c>
      <c r="G284" s="7" t="s">
        <v>176</v>
      </c>
      <c r="H284" s="7" t="s">
        <v>196</v>
      </c>
      <c r="I284" s="7" t="s">
        <v>197</v>
      </c>
      <c r="J284" s="8" t="n">
        <v>45654</v>
      </c>
      <c r="K284" s="8" t="n">
        <v>45747</v>
      </c>
      <c r="L284" s="9" t="n">
        <f aca="false">K284-J284</f>
        <v>93</v>
      </c>
      <c r="M284" s="10" t="n">
        <v>127725.28</v>
      </c>
      <c r="N284" s="7" t="s">
        <v>131</v>
      </c>
      <c r="O284" s="7"/>
      <c r="P284" s="8" t="n">
        <v>45763</v>
      </c>
      <c r="Q284" s="7" t="n">
        <v>6</v>
      </c>
      <c r="R284" s="8" t="n">
        <f aca="false">EDATE(P284,Q284)</f>
        <v>45946</v>
      </c>
    </row>
    <row r="285" customFormat="false" ht="15" hidden="false" customHeight="false" outlineLevel="0" collapsed="false">
      <c r="A285" s="7" t="s">
        <v>716</v>
      </c>
      <c r="B285" s="7" t="s">
        <v>717</v>
      </c>
      <c r="C285" s="7" t="s">
        <v>718</v>
      </c>
      <c r="D285" s="7" t="s">
        <v>114</v>
      </c>
      <c r="E285" s="7" t="s">
        <v>162</v>
      </c>
      <c r="F285" s="7" t="s">
        <v>136</v>
      </c>
      <c r="G285" s="7" t="s">
        <v>176</v>
      </c>
      <c r="H285" s="7" t="s">
        <v>180</v>
      </c>
      <c r="I285" s="7" t="s">
        <v>181</v>
      </c>
      <c r="J285" s="8" t="n">
        <v>45664</v>
      </c>
      <c r="K285" s="8" t="n">
        <v>45748</v>
      </c>
      <c r="L285" s="9" t="n">
        <f aca="false">K285-J285</f>
        <v>84</v>
      </c>
      <c r="M285" s="10" t="n">
        <v>57315.22</v>
      </c>
      <c r="N285" s="7" t="s">
        <v>131</v>
      </c>
      <c r="O285" s="7"/>
      <c r="P285" s="8" t="n">
        <v>45748</v>
      </c>
      <c r="Q285" s="7" t="n">
        <v>4</v>
      </c>
      <c r="R285" s="8" t="n">
        <f aca="false">EDATE(P285,Q285)</f>
        <v>45870</v>
      </c>
    </row>
    <row r="286" customFormat="false" ht="15" hidden="false" customHeight="false" outlineLevel="0" collapsed="false">
      <c r="A286" s="7" t="s">
        <v>719</v>
      </c>
      <c r="B286" s="7" t="s">
        <v>353</v>
      </c>
      <c r="C286" s="7" t="s">
        <v>354</v>
      </c>
      <c r="D286" s="7" t="s">
        <v>151</v>
      </c>
      <c r="E286" s="7" t="s">
        <v>105</v>
      </c>
      <c r="F286" s="7" t="s">
        <v>128</v>
      </c>
      <c r="G286" s="7" t="s">
        <v>176</v>
      </c>
      <c r="H286" s="7" t="s">
        <v>305</v>
      </c>
      <c r="I286" s="7" t="s">
        <v>306</v>
      </c>
      <c r="J286" s="8" t="n">
        <v>45720</v>
      </c>
      <c r="K286" s="8" t="n">
        <v>45751</v>
      </c>
      <c r="L286" s="9" t="n">
        <f aca="false">K286-J286</f>
        <v>31</v>
      </c>
      <c r="M286" s="10" t="n">
        <v>66718.02</v>
      </c>
      <c r="N286" s="7" t="s">
        <v>131</v>
      </c>
      <c r="O286" s="7"/>
      <c r="P286" s="8" t="n">
        <v>45768</v>
      </c>
      <c r="Q286" s="7" t="n">
        <v>3</v>
      </c>
      <c r="R286" s="8" t="n">
        <f aca="false">EDATE(P286,Q286)</f>
        <v>45859</v>
      </c>
    </row>
    <row r="287" customFormat="false" ht="15" hidden="false" customHeight="false" outlineLevel="0" collapsed="false">
      <c r="A287" s="7" t="s">
        <v>720</v>
      </c>
      <c r="B287" s="7" t="s">
        <v>330</v>
      </c>
      <c r="C287" s="7" t="s">
        <v>331</v>
      </c>
      <c r="D287" s="7" t="s">
        <v>242</v>
      </c>
      <c r="E287" s="7" t="s">
        <v>162</v>
      </c>
      <c r="F287" s="7" t="s">
        <v>95</v>
      </c>
      <c r="G287" s="7" t="s">
        <v>96</v>
      </c>
      <c r="H287" s="7" t="s">
        <v>190</v>
      </c>
      <c r="I287" s="7" t="s">
        <v>191</v>
      </c>
      <c r="J287" s="8" t="n">
        <v>45688</v>
      </c>
      <c r="K287" s="8" t="n">
        <v>45751</v>
      </c>
      <c r="L287" s="9" t="n">
        <f aca="false">K287-J287</f>
        <v>63</v>
      </c>
      <c r="M287" s="10" t="n">
        <v>50523.41</v>
      </c>
      <c r="N287" s="7" t="s">
        <v>99</v>
      </c>
      <c r="O287" s="7" t="s">
        <v>100</v>
      </c>
      <c r="P287" s="7"/>
      <c r="Q287" s="7"/>
      <c r="R287" s="7"/>
    </row>
    <row r="288" customFormat="false" ht="15" hidden="false" customHeight="false" outlineLevel="0" collapsed="false">
      <c r="A288" s="7" t="s">
        <v>721</v>
      </c>
      <c r="B288" s="7" t="s">
        <v>541</v>
      </c>
      <c r="C288" s="7" t="s">
        <v>542</v>
      </c>
      <c r="D288" s="7" t="s">
        <v>195</v>
      </c>
      <c r="E288" s="7" t="s">
        <v>94</v>
      </c>
      <c r="F288" s="7" t="s">
        <v>128</v>
      </c>
      <c r="G288" s="7" t="s">
        <v>107</v>
      </c>
      <c r="H288" s="7" t="s">
        <v>305</v>
      </c>
      <c r="I288" s="7" t="s">
        <v>306</v>
      </c>
      <c r="J288" s="8" t="n">
        <v>45682</v>
      </c>
      <c r="K288" s="8" t="n">
        <v>45752</v>
      </c>
      <c r="L288" s="9" t="n">
        <f aca="false">K288-J288</f>
        <v>70</v>
      </c>
      <c r="M288" s="10" t="n">
        <v>41602</v>
      </c>
      <c r="N288" s="7" t="s">
        <v>99</v>
      </c>
      <c r="O288" s="7" t="s">
        <v>147</v>
      </c>
      <c r="P288" s="7"/>
      <c r="Q288" s="7"/>
      <c r="R288" s="7"/>
    </row>
    <row r="289" customFormat="false" ht="15" hidden="false" customHeight="false" outlineLevel="0" collapsed="false">
      <c r="A289" s="7" t="s">
        <v>722</v>
      </c>
      <c r="B289" s="7" t="s">
        <v>330</v>
      </c>
      <c r="C289" s="7" t="s">
        <v>331</v>
      </c>
      <c r="D289" s="7" t="s">
        <v>242</v>
      </c>
      <c r="E289" s="7" t="s">
        <v>162</v>
      </c>
      <c r="F289" s="7" t="s">
        <v>183</v>
      </c>
      <c r="G289" s="7" t="s">
        <v>176</v>
      </c>
      <c r="H289" s="7" t="s">
        <v>171</v>
      </c>
      <c r="I289" s="7" t="s">
        <v>172</v>
      </c>
      <c r="J289" s="8" t="n">
        <v>45673</v>
      </c>
      <c r="K289" s="8" t="n">
        <v>45752</v>
      </c>
      <c r="L289" s="9" t="n">
        <f aca="false">K289-J289</f>
        <v>79</v>
      </c>
      <c r="M289" s="10" t="n">
        <v>61435.47</v>
      </c>
      <c r="N289" s="7" t="s">
        <v>99</v>
      </c>
      <c r="O289" s="7" t="s">
        <v>124</v>
      </c>
      <c r="P289" s="7"/>
      <c r="Q289" s="7"/>
      <c r="R289" s="7"/>
    </row>
    <row r="290" customFormat="false" ht="15" hidden="false" customHeight="false" outlineLevel="0" collapsed="false">
      <c r="A290" s="7" t="s">
        <v>723</v>
      </c>
      <c r="B290" s="7" t="s">
        <v>724</v>
      </c>
      <c r="C290" s="7" t="s">
        <v>725</v>
      </c>
      <c r="D290" s="7" t="s">
        <v>195</v>
      </c>
      <c r="E290" s="7" t="s">
        <v>115</v>
      </c>
      <c r="F290" s="7" t="s">
        <v>116</v>
      </c>
      <c r="G290" s="7" t="s">
        <v>184</v>
      </c>
      <c r="H290" s="7" t="s">
        <v>196</v>
      </c>
      <c r="I290" s="7" t="s">
        <v>197</v>
      </c>
      <c r="J290" s="8" t="n">
        <v>45682</v>
      </c>
      <c r="K290" s="8" t="n">
        <v>45754</v>
      </c>
      <c r="L290" s="9" t="n">
        <f aca="false">K290-J290</f>
        <v>72</v>
      </c>
      <c r="M290" s="10" t="n">
        <v>75375.05</v>
      </c>
      <c r="N290" s="7" t="s">
        <v>99</v>
      </c>
      <c r="O290" s="7" t="s">
        <v>219</v>
      </c>
      <c r="P290" s="7"/>
      <c r="Q290" s="7"/>
      <c r="R290" s="7"/>
    </row>
    <row r="291" customFormat="false" ht="15" hidden="false" customHeight="false" outlineLevel="0" collapsed="false">
      <c r="A291" s="7" t="s">
        <v>726</v>
      </c>
      <c r="B291" s="7" t="s">
        <v>334</v>
      </c>
      <c r="C291" s="7" t="s">
        <v>335</v>
      </c>
      <c r="D291" s="7" t="s">
        <v>242</v>
      </c>
      <c r="E291" s="7" t="s">
        <v>162</v>
      </c>
      <c r="F291" s="7" t="s">
        <v>143</v>
      </c>
      <c r="G291" s="7" t="s">
        <v>117</v>
      </c>
      <c r="H291" s="7" t="s">
        <v>281</v>
      </c>
      <c r="I291" s="7" t="s">
        <v>282</v>
      </c>
      <c r="J291" s="8" t="n">
        <v>45658</v>
      </c>
      <c r="K291" s="8" t="n">
        <v>45754</v>
      </c>
      <c r="L291" s="9" t="n">
        <f aca="false">K291-J291</f>
        <v>96</v>
      </c>
      <c r="M291" s="10" t="n">
        <v>50697.71</v>
      </c>
      <c r="N291" s="7" t="s">
        <v>99</v>
      </c>
      <c r="O291" s="7" t="s">
        <v>118</v>
      </c>
      <c r="P291" s="7"/>
      <c r="Q291" s="7"/>
      <c r="R291" s="7"/>
    </row>
    <row r="292" customFormat="false" ht="15" hidden="false" customHeight="false" outlineLevel="0" collapsed="false">
      <c r="A292" s="7" t="s">
        <v>727</v>
      </c>
      <c r="B292" s="7" t="s">
        <v>337</v>
      </c>
      <c r="C292" s="7" t="s">
        <v>338</v>
      </c>
      <c r="D292" s="7" t="s">
        <v>201</v>
      </c>
      <c r="E292" s="7" t="s">
        <v>94</v>
      </c>
      <c r="F292" s="7" t="s">
        <v>183</v>
      </c>
      <c r="G292" s="7" t="s">
        <v>137</v>
      </c>
      <c r="H292" s="7" t="s">
        <v>152</v>
      </c>
      <c r="I292" s="7" t="s">
        <v>153</v>
      </c>
      <c r="J292" s="8" t="n">
        <v>45674</v>
      </c>
      <c r="K292" s="8" t="n">
        <v>45754</v>
      </c>
      <c r="L292" s="9" t="n">
        <f aca="false">K292-J292</f>
        <v>80</v>
      </c>
      <c r="M292" s="10" t="n">
        <v>249417.03</v>
      </c>
      <c r="N292" s="7" t="s">
        <v>131</v>
      </c>
      <c r="O292" s="7"/>
      <c r="P292" s="8" t="n">
        <v>45759</v>
      </c>
      <c r="Q292" s="7" t="n">
        <v>2</v>
      </c>
      <c r="R292" s="8" t="n">
        <f aca="false">EDATE(P292,Q292)</f>
        <v>45820</v>
      </c>
    </row>
    <row r="293" customFormat="false" ht="15" hidden="false" customHeight="false" outlineLevel="0" collapsed="false">
      <c r="A293" s="7" t="s">
        <v>728</v>
      </c>
      <c r="B293" s="7" t="s">
        <v>409</v>
      </c>
      <c r="C293" s="7" t="s">
        <v>410</v>
      </c>
      <c r="D293" s="7" t="s">
        <v>114</v>
      </c>
      <c r="E293" s="7" t="s">
        <v>94</v>
      </c>
      <c r="F293" s="7" t="s">
        <v>106</v>
      </c>
      <c r="G293" s="7" t="s">
        <v>144</v>
      </c>
      <c r="H293" s="7" t="s">
        <v>185</v>
      </c>
      <c r="I293" s="7" t="s">
        <v>186</v>
      </c>
      <c r="J293" s="8" t="n">
        <v>45674</v>
      </c>
      <c r="K293" s="8" t="n">
        <v>45756</v>
      </c>
      <c r="L293" s="9" t="n">
        <f aca="false">K293-J293</f>
        <v>82</v>
      </c>
      <c r="M293" s="10" t="n">
        <v>122794.06</v>
      </c>
      <c r="N293" s="7" t="s">
        <v>99</v>
      </c>
      <c r="O293" s="7" t="s">
        <v>118</v>
      </c>
      <c r="P293" s="7"/>
      <c r="Q293" s="7"/>
      <c r="R293" s="7"/>
    </row>
    <row r="294" customFormat="false" ht="15" hidden="false" customHeight="false" outlineLevel="0" collapsed="false">
      <c r="A294" s="7" t="s">
        <v>729</v>
      </c>
      <c r="B294" s="7" t="s">
        <v>730</v>
      </c>
      <c r="C294" s="7" t="s">
        <v>731</v>
      </c>
      <c r="D294" s="7" t="s">
        <v>242</v>
      </c>
      <c r="E294" s="7" t="s">
        <v>115</v>
      </c>
      <c r="F294" s="7" t="s">
        <v>116</v>
      </c>
      <c r="G294" s="7" t="s">
        <v>117</v>
      </c>
      <c r="H294" s="7" t="s">
        <v>138</v>
      </c>
      <c r="I294" s="7" t="s">
        <v>139</v>
      </c>
      <c r="J294" s="8" t="n">
        <v>45647</v>
      </c>
      <c r="K294" s="8" t="n">
        <v>45758</v>
      </c>
      <c r="L294" s="9" t="n">
        <f aca="false">K294-J294</f>
        <v>111</v>
      </c>
      <c r="M294" s="10" t="n">
        <v>257931.14</v>
      </c>
      <c r="N294" s="7" t="s">
        <v>99</v>
      </c>
      <c r="O294" s="7" t="s">
        <v>100</v>
      </c>
      <c r="P294" s="7"/>
      <c r="Q294" s="7"/>
      <c r="R294" s="7"/>
    </row>
    <row r="295" customFormat="false" ht="15" hidden="false" customHeight="false" outlineLevel="0" collapsed="false">
      <c r="A295" s="7" t="s">
        <v>732</v>
      </c>
      <c r="B295" s="7" t="s">
        <v>250</v>
      </c>
      <c r="C295" s="7" t="s">
        <v>251</v>
      </c>
      <c r="D295" s="7" t="s">
        <v>195</v>
      </c>
      <c r="E295" s="7" t="s">
        <v>105</v>
      </c>
      <c r="F295" s="7" t="s">
        <v>128</v>
      </c>
      <c r="G295" s="7" t="s">
        <v>107</v>
      </c>
      <c r="H295" s="7" t="s">
        <v>166</v>
      </c>
      <c r="I295" s="7" t="s">
        <v>167</v>
      </c>
      <c r="J295" s="8" t="n">
        <v>45681</v>
      </c>
      <c r="K295" s="8" t="n">
        <v>45758</v>
      </c>
      <c r="L295" s="9" t="n">
        <f aca="false">K295-J295</f>
        <v>77</v>
      </c>
      <c r="M295" s="10" t="n">
        <v>53925.48</v>
      </c>
      <c r="N295" s="7" t="s">
        <v>131</v>
      </c>
      <c r="O295" s="7"/>
      <c r="P295" s="8" t="n">
        <v>45768</v>
      </c>
      <c r="Q295" s="7" t="n">
        <v>2</v>
      </c>
      <c r="R295" s="8" t="n">
        <f aca="false">EDATE(P295,Q295)</f>
        <v>45829</v>
      </c>
    </row>
    <row r="296" customFormat="false" ht="15" hidden="false" customHeight="false" outlineLevel="0" collapsed="false">
      <c r="A296" s="7" t="s">
        <v>733</v>
      </c>
      <c r="B296" s="7" t="s">
        <v>199</v>
      </c>
      <c r="C296" s="7" t="s">
        <v>200</v>
      </c>
      <c r="D296" s="7" t="s">
        <v>201</v>
      </c>
      <c r="E296" s="7" t="s">
        <v>94</v>
      </c>
      <c r="F296" s="7" t="s">
        <v>106</v>
      </c>
      <c r="G296" s="7" t="s">
        <v>137</v>
      </c>
      <c r="H296" s="7" t="s">
        <v>171</v>
      </c>
      <c r="I296" s="7" t="s">
        <v>172</v>
      </c>
      <c r="J296" s="8" t="n">
        <v>45703</v>
      </c>
      <c r="K296" s="8" t="n">
        <v>45759</v>
      </c>
      <c r="L296" s="9" t="n">
        <f aca="false">K296-J296</f>
        <v>56</v>
      </c>
      <c r="M296" s="10" t="n">
        <v>46249.92</v>
      </c>
      <c r="N296" s="7" t="s">
        <v>99</v>
      </c>
      <c r="O296" s="7" t="s">
        <v>124</v>
      </c>
      <c r="P296" s="7"/>
      <c r="Q296" s="7"/>
      <c r="R296" s="7"/>
    </row>
    <row r="297" customFormat="false" ht="15" hidden="false" customHeight="false" outlineLevel="0" collapsed="false">
      <c r="A297" s="7" t="s">
        <v>734</v>
      </c>
      <c r="B297" s="7" t="s">
        <v>199</v>
      </c>
      <c r="C297" s="7" t="s">
        <v>200</v>
      </c>
      <c r="D297" s="7" t="s">
        <v>201</v>
      </c>
      <c r="E297" s="7" t="s">
        <v>94</v>
      </c>
      <c r="F297" s="7" t="s">
        <v>136</v>
      </c>
      <c r="G297" s="7" t="s">
        <v>96</v>
      </c>
      <c r="H297" s="7" t="s">
        <v>185</v>
      </c>
      <c r="I297" s="7" t="s">
        <v>186</v>
      </c>
      <c r="J297" s="8" t="n">
        <v>45711</v>
      </c>
      <c r="K297" s="8" t="n">
        <v>45761</v>
      </c>
      <c r="L297" s="9" t="n">
        <f aca="false">K297-J297</f>
        <v>50</v>
      </c>
      <c r="M297" s="10" t="n">
        <v>224747.62</v>
      </c>
      <c r="N297" s="7" t="s">
        <v>131</v>
      </c>
      <c r="O297" s="7"/>
      <c r="P297" s="8" t="n">
        <v>45783</v>
      </c>
      <c r="Q297" s="7" t="n">
        <v>4</v>
      </c>
      <c r="R297" s="8" t="n">
        <f aca="false">EDATE(P297,Q297)</f>
        <v>45906</v>
      </c>
    </row>
    <row r="298" customFormat="false" ht="15" hidden="false" customHeight="false" outlineLevel="0" collapsed="false">
      <c r="A298" s="7" t="s">
        <v>735</v>
      </c>
      <c r="B298" s="7" t="s">
        <v>347</v>
      </c>
      <c r="C298" s="7" t="s">
        <v>348</v>
      </c>
      <c r="D298" s="7" t="s">
        <v>151</v>
      </c>
      <c r="E298" s="7" t="s">
        <v>94</v>
      </c>
      <c r="F298" s="7" t="s">
        <v>95</v>
      </c>
      <c r="G298" s="7" t="s">
        <v>137</v>
      </c>
      <c r="H298" s="7" t="s">
        <v>122</v>
      </c>
      <c r="I298" s="7" t="s">
        <v>123</v>
      </c>
      <c r="J298" s="8" t="n">
        <v>45743</v>
      </c>
      <c r="K298" s="8" t="n">
        <v>45763</v>
      </c>
      <c r="L298" s="9" t="n">
        <f aca="false">K298-J298</f>
        <v>20</v>
      </c>
      <c r="M298" s="10" t="n">
        <v>94354.06</v>
      </c>
      <c r="N298" s="7" t="s">
        <v>99</v>
      </c>
      <c r="O298" s="7" t="s">
        <v>100</v>
      </c>
      <c r="P298" s="7"/>
      <c r="Q298" s="7"/>
      <c r="R298" s="7"/>
    </row>
    <row r="299" customFormat="false" ht="15" hidden="false" customHeight="false" outlineLevel="0" collapsed="false">
      <c r="A299" s="7" t="s">
        <v>736</v>
      </c>
      <c r="B299" s="7" t="s">
        <v>300</v>
      </c>
      <c r="C299" s="7" t="s">
        <v>301</v>
      </c>
      <c r="D299" s="7" t="s">
        <v>104</v>
      </c>
      <c r="E299" s="7" t="s">
        <v>94</v>
      </c>
      <c r="F299" s="7" t="s">
        <v>183</v>
      </c>
      <c r="G299" s="7" t="s">
        <v>96</v>
      </c>
      <c r="H299" s="7" t="s">
        <v>166</v>
      </c>
      <c r="I299" s="7" t="s">
        <v>167</v>
      </c>
      <c r="J299" s="8" t="n">
        <v>45709</v>
      </c>
      <c r="K299" s="8" t="n">
        <v>45765</v>
      </c>
      <c r="L299" s="9" t="n">
        <f aca="false">K299-J299</f>
        <v>56</v>
      </c>
      <c r="M299" s="10" t="n">
        <v>137141.75</v>
      </c>
      <c r="N299" s="7" t="s">
        <v>131</v>
      </c>
      <c r="O299" s="7"/>
      <c r="P299" s="8" t="n">
        <v>45769</v>
      </c>
      <c r="Q299" s="7" t="n">
        <v>1</v>
      </c>
      <c r="R299" s="8" t="n">
        <f aca="false">EDATE(P299,Q299)</f>
        <v>45799</v>
      </c>
    </row>
    <row r="300" customFormat="false" ht="15" hidden="false" customHeight="false" outlineLevel="0" collapsed="false">
      <c r="A300" s="7" t="s">
        <v>737</v>
      </c>
      <c r="B300" s="7" t="s">
        <v>424</v>
      </c>
      <c r="C300" s="7" t="s">
        <v>425</v>
      </c>
      <c r="D300" s="7" t="s">
        <v>114</v>
      </c>
      <c r="E300" s="7" t="s">
        <v>115</v>
      </c>
      <c r="F300" s="7" t="s">
        <v>183</v>
      </c>
      <c r="G300" s="7" t="s">
        <v>96</v>
      </c>
      <c r="H300" s="7" t="s">
        <v>258</v>
      </c>
      <c r="I300" s="7" t="s">
        <v>259</v>
      </c>
      <c r="J300" s="8" t="n">
        <v>45721</v>
      </c>
      <c r="K300" s="8" t="n">
        <v>45766</v>
      </c>
      <c r="L300" s="9" t="n">
        <f aca="false">K300-J300</f>
        <v>45</v>
      </c>
      <c r="M300" s="10" t="n">
        <v>78881.35</v>
      </c>
      <c r="N300" s="7" t="s">
        <v>99</v>
      </c>
      <c r="O300" s="7" t="s">
        <v>100</v>
      </c>
      <c r="P300" s="7"/>
      <c r="Q300" s="7"/>
      <c r="R300" s="7"/>
    </row>
    <row r="301" customFormat="false" ht="15" hidden="false" customHeight="false" outlineLevel="0" collapsed="false">
      <c r="A301" s="7" t="s">
        <v>738</v>
      </c>
      <c r="B301" s="7" t="s">
        <v>226</v>
      </c>
      <c r="C301" s="7" t="s">
        <v>227</v>
      </c>
      <c r="D301" s="7" t="s">
        <v>93</v>
      </c>
      <c r="E301" s="7" t="s">
        <v>105</v>
      </c>
      <c r="F301" s="7" t="s">
        <v>106</v>
      </c>
      <c r="G301" s="7" t="s">
        <v>137</v>
      </c>
      <c r="H301" s="7" t="s">
        <v>190</v>
      </c>
      <c r="I301" s="7" t="s">
        <v>191</v>
      </c>
      <c r="J301" s="8" t="n">
        <v>45654</v>
      </c>
      <c r="K301" s="8" t="n">
        <v>45766</v>
      </c>
      <c r="L301" s="9" t="n">
        <f aca="false">K301-J301</f>
        <v>112</v>
      </c>
      <c r="M301" s="10" t="n">
        <v>172740.16</v>
      </c>
      <c r="N301" s="7" t="s">
        <v>99</v>
      </c>
      <c r="O301" s="7" t="s">
        <v>219</v>
      </c>
      <c r="P301" s="7"/>
      <c r="Q301" s="7"/>
      <c r="R301" s="7"/>
    </row>
    <row r="302" customFormat="false" ht="15" hidden="false" customHeight="false" outlineLevel="0" collapsed="false">
      <c r="A302" s="7" t="s">
        <v>739</v>
      </c>
      <c r="B302" s="7" t="s">
        <v>424</v>
      </c>
      <c r="C302" s="7" t="s">
        <v>425</v>
      </c>
      <c r="D302" s="7" t="s">
        <v>114</v>
      </c>
      <c r="E302" s="7" t="s">
        <v>115</v>
      </c>
      <c r="F302" s="7" t="s">
        <v>116</v>
      </c>
      <c r="G302" s="7" t="s">
        <v>137</v>
      </c>
      <c r="H302" s="7" t="s">
        <v>129</v>
      </c>
      <c r="I302" s="7" t="s">
        <v>130</v>
      </c>
      <c r="J302" s="8" t="n">
        <v>45683</v>
      </c>
      <c r="K302" s="8" t="n">
        <v>45769</v>
      </c>
      <c r="L302" s="9" t="n">
        <f aca="false">K302-J302</f>
        <v>86</v>
      </c>
      <c r="M302" s="10" t="n">
        <v>42255.25</v>
      </c>
      <c r="N302" s="7" t="s">
        <v>99</v>
      </c>
      <c r="O302" s="7" t="s">
        <v>124</v>
      </c>
      <c r="P302" s="7"/>
      <c r="Q302" s="7"/>
      <c r="R302" s="7"/>
    </row>
    <row r="303" customFormat="false" ht="15" hidden="false" customHeight="false" outlineLevel="0" collapsed="false">
      <c r="A303" s="7" t="s">
        <v>740</v>
      </c>
      <c r="B303" s="7" t="s">
        <v>315</v>
      </c>
      <c r="C303" s="7" t="s">
        <v>316</v>
      </c>
      <c r="D303" s="7" t="s">
        <v>195</v>
      </c>
      <c r="E303" s="7" t="s">
        <v>162</v>
      </c>
      <c r="F303" s="7" t="s">
        <v>183</v>
      </c>
      <c r="G303" s="7" t="s">
        <v>144</v>
      </c>
      <c r="H303" s="7" t="s">
        <v>258</v>
      </c>
      <c r="I303" s="7" t="s">
        <v>259</v>
      </c>
      <c r="J303" s="8" t="n">
        <v>45714</v>
      </c>
      <c r="K303" s="8" t="n">
        <v>45770</v>
      </c>
      <c r="L303" s="9" t="n">
        <f aca="false">K303-J303</f>
        <v>56</v>
      </c>
      <c r="M303" s="10" t="n">
        <v>128444.11</v>
      </c>
      <c r="N303" s="7" t="s">
        <v>131</v>
      </c>
      <c r="O303" s="7"/>
      <c r="P303" s="8" t="n">
        <v>45771</v>
      </c>
      <c r="Q303" s="7" t="n">
        <v>3</v>
      </c>
      <c r="R303" s="8" t="n">
        <f aca="false">EDATE(P303,Q303)</f>
        <v>45862</v>
      </c>
    </row>
    <row r="304" customFormat="false" ht="15" hidden="false" customHeight="false" outlineLevel="0" collapsed="false">
      <c r="A304" s="7" t="s">
        <v>741</v>
      </c>
      <c r="B304" s="7" t="s">
        <v>133</v>
      </c>
      <c r="C304" s="7" t="s">
        <v>134</v>
      </c>
      <c r="D304" s="7" t="s">
        <v>135</v>
      </c>
      <c r="E304" s="7" t="s">
        <v>94</v>
      </c>
      <c r="F304" s="7" t="s">
        <v>106</v>
      </c>
      <c r="G304" s="7" t="s">
        <v>176</v>
      </c>
      <c r="H304" s="7" t="s">
        <v>281</v>
      </c>
      <c r="I304" s="7" t="s">
        <v>282</v>
      </c>
      <c r="J304" s="8" t="n">
        <v>45716</v>
      </c>
      <c r="K304" s="8" t="n">
        <v>45771</v>
      </c>
      <c r="L304" s="9" t="n">
        <f aca="false">K304-J304</f>
        <v>55</v>
      </c>
      <c r="M304" s="10" t="n">
        <v>72016.98</v>
      </c>
      <c r="N304" s="7" t="s">
        <v>131</v>
      </c>
      <c r="O304" s="7"/>
      <c r="P304" s="8" t="n">
        <v>45782</v>
      </c>
      <c r="Q304" s="7" t="n">
        <v>6</v>
      </c>
      <c r="R304" s="8" t="n">
        <f aca="false">EDATE(P304,Q304)</f>
        <v>45966</v>
      </c>
    </row>
    <row r="305" customFormat="false" ht="15" hidden="false" customHeight="false" outlineLevel="0" collapsed="false">
      <c r="A305" s="7" t="s">
        <v>742</v>
      </c>
      <c r="B305" s="7" t="s">
        <v>211</v>
      </c>
      <c r="C305" s="7" t="s">
        <v>212</v>
      </c>
      <c r="D305" s="7" t="s">
        <v>201</v>
      </c>
      <c r="E305" s="7" t="s">
        <v>105</v>
      </c>
      <c r="F305" s="7" t="s">
        <v>157</v>
      </c>
      <c r="G305" s="7" t="s">
        <v>107</v>
      </c>
      <c r="H305" s="7" t="s">
        <v>180</v>
      </c>
      <c r="I305" s="7" t="s">
        <v>181</v>
      </c>
      <c r="J305" s="8" t="n">
        <v>45707</v>
      </c>
      <c r="K305" s="8" t="n">
        <v>45771</v>
      </c>
      <c r="L305" s="9" t="n">
        <f aca="false">K305-J305</f>
        <v>64</v>
      </c>
      <c r="M305" s="10" t="n">
        <v>81392.01</v>
      </c>
      <c r="N305" s="7" t="s">
        <v>99</v>
      </c>
      <c r="O305" s="7" t="s">
        <v>219</v>
      </c>
      <c r="P305" s="7"/>
      <c r="Q305" s="7"/>
      <c r="R305" s="7"/>
    </row>
    <row r="306" customFormat="false" ht="15" hidden="false" customHeight="false" outlineLevel="0" collapsed="false">
      <c r="A306" s="7" t="s">
        <v>743</v>
      </c>
      <c r="B306" s="7" t="s">
        <v>623</v>
      </c>
      <c r="C306" s="7" t="s">
        <v>624</v>
      </c>
      <c r="D306" s="7" t="s">
        <v>93</v>
      </c>
      <c r="E306" s="7" t="s">
        <v>115</v>
      </c>
      <c r="F306" s="7" t="s">
        <v>183</v>
      </c>
      <c r="G306" s="7" t="s">
        <v>96</v>
      </c>
      <c r="H306" s="7" t="s">
        <v>223</v>
      </c>
      <c r="I306" s="7" t="s">
        <v>224</v>
      </c>
      <c r="J306" s="8" t="n">
        <v>45697</v>
      </c>
      <c r="K306" s="8" t="n">
        <v>45774</v>
      </c>
      <c r="L306" s="9" t="n">
        <f aca="false">K306-J306</f>
        <v>77</v>
      </c>
      <c r="M306" s="10" t="n">
        <v>79985.77</v>
      </c>
      <c r="N306" s="7" t="s">
        <v>99</v>
      </c>
      <c r="O306" s="7" t="s">
        <v>110</v>
      </c>
      <c r="P306" s="7"/>
      <c r="Q306" s="7"/>
      <c r="R306" s="7"/>
    </row>
    <row r="307" customFormat="false" ht="15" hidden="false" customHeight="false" outlineLevel="0" collapsed="false">
      <c r="A307" s="7" t="s">
        <v>744</v>
      </c>
      <c r="B307" s="7" t="s">
        <v>330</v>
      </c>
      <c r="C307" s="7" t="s">
        <v>331</v>
      </c>
      <c r="D307" s="7" t="s">
        <v>242</v>
      </c>
      <c r="E307" s="7" t="s">
        <v>162</v>
      </c>
      <c r="F307" s="7" t="s">
        <v>95</v>
      </c>
      <c r="G307" s="7" t="s">
        <v>184</v>
      </c>
      <c r="H307" s="7" t="s">
        <v>305</v>
      </c>
      <c r="I307" s="7" t="s">
        <v>306</v>
      </c>
      <c r="J307" s="8" t="n">
        <v>45731</v>
      </c>
      <c r="K307" s="8" t="n">
        <v>45779</v>
      </c>
      <c r="L307" s="9" t="n">
        <f aca="false">K307-J307</f>
        <v>48</v>
      </c>
      <c r="M307" s="10" t="n">
        <v>79249.77</v>
      </c>
      <c r="N307" s="7" t="s">
        <v>99</v>
      </c>
      <c r="O307" s="7" t="s">
        <v>147</v>
      </c>
      <c r="P307" s="7"/>
      <c r="Q307" s="7"/>
      <c r="R307" s="7"/>
    </row>
    <row r="308" customFormat="false" ht="15" hidden="false" customHeight="false" outlineLevel="0" collapsed="false">
      <c r="A308" s="7" t="s">
        <v>745</v>
      </c>
      <c r="B308" s="7" t="s">
        <v>208</v>
      </c>
      <c r="C308" s="7" t="s">
        <v>209</v>
      </c>
      <c r="D308" s="7" t="s">
        <v>114</v>
      </c>
      <c r="E308" s="7" t="s">
        <v>162</v>
      </c>
      <c r="F308" s="7" t="s">
        <v>143</v>
      </c>
      <c r="G308" s="7" t="s">
        <v>96</v>
      </c>
      <c r="H308" s="7" t="s">
        <v>213</v>
      </c>
      <c r="I308" s="7" t="s">
        <v>214</v>
      </c>
      <c r="J308" s="8" t="n">
        <v>45673</v>
      </c>
      <c r="K308" s="8" t="n">
        <v>45779</v>
      </c>
      <c r="L308" s="9" t="n">
        <f aca="false">K308-J308</f>
        <v>106</v>
      </c>
      <c r="M308" s="10" t="n">
        <v>184883.75</v>
      </c>
      <c r="N308" s="7" t="s">
        <v>131</v>
      </c>
      <c r="O308" s="7"/>
      <c r="P308" s="8" t="n">
        <v>45781</v>
      </c>
      <c r="Q308" s="7" t="n">
        <v>12</v>
      </c>
      <c r="R308" s="8" t="n">
        <f aca="false">EDATE(P308,Q308)</f>
        <v>46146</v>
      </c>
    </row>
    <row r="309" customFormat="false" ht="15" hidden="false" customHeight="false" outlineLevel="0" collapsed="false">
      <c r="A309" s="7" t="s">
        <v>746</v>
      </c>
      <c r="B309" s="7" t="s">
        <v>747</v>
      </c>
      <c r="C309" s="7" t="s">
        <v>748</v>
      </c>
      <c r="D309" s="7" t="s">
        <v>195</v>
      </c>
      <c r="E309" s="7" t="s">
        <v>105</v>
      </c>
      <c r="F309" s="7" t="s">
        <v>143</v>
      </c>
      <c r="G309" s="7" t="s">
        <v>184</v>
      </c>
      <c r="H309" s="7" t="s">
        <v>108</v>
      </c>
      <c r="I309" s="7" t="s">
        <v>109</v>
      </c>
      <c r="J309" s="8" t="n">
        <v>45705</v>
      </c>
      <c r="K309" s="8" t="n">
        <v>45779</v>
      </c>
      <c r="L309" s="9" t="n">
        <f aca="false">K309-J309</f>
        <v>74</v>
      </c>
      <c r="M309" s="10" t="n">
        <v>104423.29</v>
      </c>
      <c r="N309" s="7" t="s">
        <v>99</v>
      </c>
      <c r="O309" s="7" t="s">
        <v>147</v>
      </c>
      <c r="P309" s="7"/>
      <c r="Q309" s="7"/>
      <c r="R309" s="7"/>
    </row>
    <row r="310" customFormat="false" ht="15" hidden="false" customHeight="false" outlineLevel="0" collapsed="false">
      <c r="A310" s="7" t="s">
        <v>749</v>
      </c>
      <c r="B310" s="7" t="s">
        <v>750</v>
      </c>
      <c r="C310" s="7" t="s">
        <v>751</v>
      </c>
      <c r="D310" s="7" t="s">
        <v>201</v>
      </c>
      <c r="E310" s="7" t="s">
        <v>115</v>
      </c>
      <c r="F310" s="7" t="s">
        <v>143</v>
      </c>
      <c r="G310" s="7" t="s">
        <v>184</v>
      </c>
      <c r="H310" s="7" t="s">
        <v>190</v>
      </c>
      <c r="I310" s="7" t="s">
        <v>191</v>
      </c>
      <c r="J310" s="8" t="n">
        <v>45672</v>
      </c>
      <c r="K310" s="8" t="n">
        <v>45780</v>
      </c>
      <c r="L310" s="9" t="n">
        <f aca="false">K310-J310</f>
        <v>108</v>
      </c>
      <c r="M310" s="10" t="n">
        <v>205460.77</v>
      </c>
      <c r="N310" s="7" t="s">
        <v>99</v>
      </c>
      <c r="O310" s="7" t="s">
        <v>219</v>
      </c>
      <c r="P310" s="7"/>
      <c r="Q310" s="7"/>
      <c r="R310" s="7"/>
    </row>
    <row r="311" customFormat="false" ht="15" hidden="false" customHeight="false" outlineLevel="0" collapsed="false">
      <c r="A311" s="7" t="s">
        <v>752</v>
      </c>
      <c r="B311" s="7" t="s">
        <v>327</v>
      </c>
      <c r="C311" s="7" t="s">
        <v>328</v>
      </c>
      <c r="D311" s="7" t="s">
        <v>201</v>
      </c>
      <c r="E311" s="7" t="s">
        <v>94</v>
      </c>
      <c r="F311" s="7" t="s">
        <v>136</v>
      </c>
      <c r="G311" s="7" t="s">
        <v>184</v>
      </c>
      <c r="H311" s="7" t="s">
        <v>402</v>
      </c>
      <c r="I311" s="7" t="s">
        <v>403</v>
      </c>
      <c r="J311" s="8" t="n">
        <v>45684</v>
      </c>
      <c r="K311" s="8" t="n">
        <v>45781</v>
      </c>
      <c r="L311" s="9" t="n">
        <f aca="false">K311-J311</f>
        <v>97</v>
      </c>
      <c r="M311" s="10" t="n">
        <v>166062.97</v>
      </c>
      <c r="N311" s="7" t="s">
        <v>99</v>
      </c>
      <c r="O311" s="7" t="s">
        <v>124</v>
      </c>
      <c r="P311" s="7"/>
      <c r="Q311" s="7"/>
      <c r="R311" s="7"/>
    </row>
    <row r="312" customFormat="false" ht="15" hidden="false" customHeight="false" outlineLevel="0" collapsed="false">
      <c r="A312" s="7" t="s">
        <v>753</v>
      </c>
      <c r="B312" s="7" t="s">
        <v>268</v>
      </c>
      <c r="C312" s="7" t="s">
        <v>269</v>
      </c>
      <c r="D312" s="7" t="s">
        <v>104</v>
      </c>
      <c r="E312" s="7" t="s">
        <v>105</v>
      </c>
      <c r="F312" s="7" t="s">
        <v>106</v>
      </c>
      <c r="G312" s="7" t="s">
        <v>176</v>
      </c>
      <c r="H312" s="7" t="s">
        <v>171</v>
      </c>
      <c r="I312" s="7" t="s">
        <v>172</v>
      </c>
      <c r="J312" s="8" t="n">
        <v>45674</v>
      </c>
      <c r="K312" s="8" t="n">
        <v>45781</v>
      </c>
      <c r="L312" s="9" t="n">
        <f aca="false">K312-J312</f>
        <v>107</v>
      </c>
      <c r="M312" s="10" t="n">
        <v>216433.96</v>
      </c>
      <c r="N312" s="7" t="s">
        <v>99</v>
      </c>
      <c r="O312" s="7" t="s">
        <v>147</v>
      </c>
      <c r="P312" s="7"/>
      <c r="Q312" s="7"/>
      <c r="R312" s="7"/>
    </row>
    <row r="313" customFormat="false" ht="15" hidden="false" customHeight="false" outlineLevel="0" collapsed="false">
      <c r="A313" s="7" t="s">
        <v>754</v>
      </c>
      <c r="B313" s="7" t="s">
        <v>532</v>
      </c>
      <c r="C313" s="7" t="s">
        <v>533</v>
      </c>
      <c r="D313" s="7" t="s">
        <v>201</v>
      </c>
      <c r="E313" s="7" t="s">
        <v>94</v>
      </c>
      <c r="F313" s="7" t="s">
        <v>136</v>
      </c>
      <c r="G313" s="7" t="s">
        <v>107</v>
      </c>
      <c r="H313" s="7" t="s">
        <v>213</v>
      </c>
      <c r="I313" s="7" t="s">
        <v>214</v>
      </c>
      <c r="J313" s="8" t="n">
        <v>45729</v>
      </c>
      <c r="K313" s="8" t="n">
        <v>45781</v>
      </c>
      <c r="L313" s="9" t="n">
        <f aca="false">K313-J313</f>
        <v>52</v>
      </c>
      <c r="M313" s="10" t="n">
        <v>197340.8</v>
      </c>
      <c r="N313" s="7" t="s">
        <v>131</v>
      </c>
      <c r="O313" s="7"/>
      <c r="P313" s="8" t="n">
        <v>45794</v>
      </c>
      <c r="Q313" s="7" t="n">
        <v>5</v>
      </c>
      <c r="R313" s="8" t="n">
        <f aca="false">EDATE(P313,Q313)</f>
        <v>45947</v>
      </c>
    </row>
    <row r="314" customFormat="false" ht="15" hidden="false" customHeight="false" outlineLevel="0" collapsed="false">
      <c r="A314" s="7" t="s">
        <v>755</v>
      </c>
      <c r="B314" s="7" t="s">
        <v>424</v>
      </c>
      <c r="C314" s="7" t="s">
        <v>425</v>
      </c>
      <c r="D314" s="7" t="s">
        <v>114</v>
      </c>
      <c r="E314" s="7" t="s">
        <v>115</v>
      </c>
      <c r="F314" s="7" t="s">
        <v>183</v>
      </c>
      <c r="G314" s="7" t="s">
        <v>107</v>
      </c>
      <c r="H314" s="7" t="s">
        <v>213</v>
      </c>
      <c r="I314" s="7" t="s">
        <v>214</v>
      </c>
      <c r="J314" s="8" t="n">
        <v>45708</v>
      </c>
      <c r="K314" s="8" t="n">
        <v>45786</v>
      </c>
      <c r="L314" s="9" t="n">
        <f aca="false">K314-J314</f>
        <v>78</v>
      </c>
      <c r="M314" s="10" t="n">
        <v>233003.64</v>
      </c>
      <c r="N314" s="7" t="s">
        <v>99</v>
      </c>
      <c r="O314" s="7" t="s">
        <v>124</v>
      </c>
      <c r="P314" s="7"/>
      <c r="Q314" s="7"/>
      <c r="R314" s="7"/>
    </row>
    <row r="315" customFormat="false" ht="15" hidden="false" customHeight="false" outlineLevel="0" collapsed="false">
      <c r="A315" s="7" t="s">
        <v>756</v>
      </c>
      <c r="B315" s="7" t="s">
        <v>757</v>
      </c>
      <c r="C315" s="7" t="s">
        <v>758</v>
      </c>
      <c r="D315" s="7" t="s">
        <v>151</v>
      </c>
      <c r="E315" s="7" t="s">
        <v>105</v>
      </c>
      <c r="F315" s="7" t="s">
        <v>157</v>
      </c>
      <c r="G315" s="7" t="s">
        <v>184</v>
      </c>
      <c r="H315" s="7" t="s">
        <v>152</v>
      </c>
      <c r="I315" s="7" t="s">
        <v>153</v>
      </c>
      <c r="J315" s="8" t="n">
        <v>45701</v>
      </c>
      <c r="K315" s="8" t="n">
        <v>45786</v>
      </c>
      <c r="L315" s="9" t="n">
        <f aca="false">K315-J315</f>
        <v>85</v>
      </c>
      <c r="M315" s="10" t="n">
        <v>110804.66</v>
      </c>
      <c r="N315" s="7" t="s">
        <v>99</v>
      </c>
      <c r="O315" s="7" t="s">
        <v>118</v>
      </c>
      <c r="P315" s="7"/>
      <c r="Q315" s="7"/>
      <c r="R315" s="7"/>
    </row>
    <row r="316" customFormat="false" ht="15" hidden="false" customHeight="false" outlineLevel="0" collapsed="false">
      <c r="A316" s="7" t="s">
        <v>759</v>
      </c>
      <c r="B316" s="7" t="s">
        <v>674</v>
      </c>
      <c r="C316" s="7" t="s">
        <v>675</v>
      </c>
      <c r="D316" s="7" t="s">
        <v>151</v>
      </c>
      <c r="E316" s="7" t="s">
        <v>105</v>
      </c>
      <c r="F316" s="7" t="s">
        <v>116</v>
      </c>
      <c r="G316" s="7" t="s">
        <v>184</v>
      </c>
      <c r="H316" s="7" t="s">
        <v>171</v>
      </c>
      <c r="I316" s="7" t="s">
        <v>172</v>
      </c>
      <c r="J316" s="8" t="n">
        <v>45739</v>
      </c>
      <c r="K316" s="8" t="n">
        <v>45787</v>
      </c>
      <c r="L316" s="9" t="n">
        <f aca="false">K316-J316</f>
        <v>48</v>
      </c>
      <c r="M316" s="10" t="n">
        <v>48406.71</v>
      </c>
      <c r="N316" s="7" t="s">
        <v>131</v>
      </c>
      <c r="O316" s="7"/>
      <c r="P316" s="8" t="n">
        <v>45787</v>
      </c>
      <c r="Q316" s="7" t="n">
        <v>6</v>
      </c>
      <c r="R316" s="8" t="n">
        <f aca="false">EDATE(P316,Q316)</f>
        <v>45971</v>
      </c>
    </row>
    <row r="317" customFormat="false" ht="15" hidden="false" customHeight="false" outlineLevel="0" collapsed="false">
      <c r="A317" s="7" t="s">
        <v>760</v>
      </c>
      <c r="B317" s="7" t="s">
        <v>427</v>
      </c>
      <c r="C317" s="7" t="s">
        <v>428</v>
      </c>
      <c r="D317" s="7" t="s">
        <v>151</v>
      </c>
      <c r="E317" s="7" t="s">
        <v>94</v>
      </c>
      <c r="F317" s="7" t="s">
        <v>136</v>
      </c>
      <c r="G317" s="7" t="s">
        <v>96</v>
      </c>
      <c r="H317" s="7" t="s">
        <v>223</v>
      </c>
      <c r="I317" s="7" t="s">
        <v>224</v>
      </c>
      <c r="J317" s="8" t="n">
        <v>45696</v>
      </c>
      <c r="K317" s="8" t="n">
        <v>45787</v>
      </c>
      <c r="L317" s="9" t="n">
        <f aca="false">K317-J317</f>
        <v>91</v>
      </c>
      <c r="M317" s="10" t="n">
        <v>122271.49</v>
      </c>
      <c r="N317" s="7" t="s">
        <v>99</v>
      </c>
      <c r="O317" s="7" t="s">
        <v>118</v>
      </c>
      <c r="P317" s="7"/>
      <c r="Q317" s="7"/>
      <c r="R317" s="7"/>
    </row>
    <row r="318" customFormat="false" ht="15" hidden="false" customHeight="false" outlineLevel="0" collapsed="false">
      <c r="A318" s="7" t="s">
        <v>761</v>
      </c>
      <c r="B318" s="7" t="s">
        <v>762</v>
      </c>
      <c r="C318" s="7" t="s">
        <v>763</v>
      </c>
      <c r="D318" s="7" t="s">
        <v>114</v>
      </c>
      <c r="E318" s="7" t="s">
        <v>115</v>
      </c>
      <c r="F318" s="7" t="s">
        <v>116</v>
      </c>
      <c r="G318" s="7" t="s">
        <v>176</v>
      </c>
      <c r="H318" s="7" t="s">
        <v>145</v>
      </c>
      <c r="I318" s="7" t="s">
        <v>146</v>
      </c>
      <c r="J318" s="8" t="n">
        <v>45679</v>
      </c>
      <c r="K318" s="8" t="n">
        <v>45788</v>
      </c>
      <c r="L318" s="9" t="n">
        <f aca="false">K318-J318</f>
        <v>109</v>
      </c>
      <c r="M318" s="10" t="n">
        <v>188039.14</v>
      </c>
      <c r="N318" s="7" t="s">
        <v>131</v>
      </c>
      <c r="O318" s="7"/>
      <c r="P318" s="8" t="n">
        <v>45806</v>
      </c>
      <c r="Q318" s="7" t="n">
        <v>5</v>
      </c>
      <c r="R318" s="8" t="n">
        <f aca="false">EDATE(P318,Q318)</f>
        <v>45959</v>
      </c>
    </row>
    <row r="319" customFormat="false" ht="15" hidden="false" customHeight="false" outlineLevel="0" collapsed="false">
      <c r="A319" s="7" t="s">
        <v>764</v>
      </c>
      <c r="B319" s="7" t="s">
        <v>421</v>
      </c>
      <c r="C319" s="7" t="s">
        <v>422</v>
      </c>
      <c r="D319" s="7" t="s">
        <v>242</v>
      </c>
      <c r="E319" s="7" t="s">
        <v>105</v>
      </c>
      <c r="F319" s="7" t="s">
        <v>116</v>
      </c>
      <c r="G319" s="7" t="s">
        <v>184</v>
      </c>
      <c r="H319" s="7" t="s">
        <v>305</v>
      </c>
      <c r="I319" s="7" t="s">
        <v>306</v>
      </c>
      <c r="J319" s="8" t="n">
        <v>45701</v>
      </c>
      <c r="K319" s="8" t="n">
        <v>45788</v>
      </c>
      <c r="L319" s="9" t="n">
        <f aca="false">K319-J319</f>
        <v>87</v>
      </c>
      <c r="M319" s="10" t="n">
        <v>147926.94</v>
      </c>
      <c r="N319" s="7" t="s">
        <v>99</v>
      </c>
      <c r="O319" s="7" t="s">
        <v>100</v>
      </c>
      <c r="P319" s="7"/>
      <c r="Q319" s="7"/>
      <c r="R319" s="7"/>
    </row>
    <row r="320" customFormat="false" ht="15" hidden="false" customHeight="false" outlineLevel="0" collapsed="false">
      <c r="A320" s="7" t="s">
        <v>765</v>
      </c>
      <c r="B320" s="7" t="s">
        <v>724</v>
      </c>
      <c r="C320" s="7" t="s">
        <v>725</v>
      </c>
      <c r="D320" s="7" t="s">
        <v>195</v>
      </c>
      <c r="E320" s="7" t="s">
        <v>115</v>
      </c>
      <c r="F320" s="7" t="s">
        <v>143</v>
      </c>
      <c r="G320" s="7" t="s">
        <v>107</v>
      </c>
      <c r="H320" s="7" t="s">
        <v>305</v>
      </c>
      <c r="I320" s="7" t="s">
        <v>306</v>
      </c>
      <c r="J320" s="8" t="n">
        <v>45727</v>
      </c>
      <c r="K320" s="8" t="n">
        <v>45788</v>
      </c>
      <c r="L320" s="9" t="n">
        <f aca="false">K320-J320</f>
        <v>61</v>
      </c>
      <c r="M320" s="10" t="n">
        <v>54882.13</v>
      </c>
      <c r="N320" s="7" t="s">
        <v>99</v>
      </c>
      <c r="O320" s="7" t="s">
        <v>147</v>
      </c>
      <c r="P320" s="7"/>
      <c r="Q320" s="7"/>
      <c r="R320" s="7"/>
    </row>
    <row r="321" customFormat="false" ht="15" hidden="false" customHeight="false" outlineLevel="0" collapsed="false">
      <c r="A321" s="7" t="s">
        <v>766</v>
      </c>
      <c r="B321" s="7" t="s">
        <v>400</v>
      </c>
      <c r="C321" s="7" t="s">
        <v>401</v>
      </c>
      <c r="D321" s="7" t="s">
        <v>135</v>
      </c>
      <c r="E321" s="7" t="s">
        <v>162</v>
      </c>
      <c r="F321" s="7" t="s">
        <v>95</v>
      </c>
      <c r="G321" s="7" t="s">
        <v>184</v>
      </c>
      <c r="H321" s="7" t="s">
        <v>177</v>
      </c>
      <c r="I321" s="7" t="s">
        <v>178</v>
      </c>
      <c r="J321" s="8" t="n">
        <v>45737</v>
      </c>
      <c r="K321" s="8" t="n">
        <v>45788</v>
      </c>
      <c r="L321" s="9" t="n">
        <f aca="false">K321-J321</f>
        <v>51</v>
      </c>
      <c r="M321" s="10" t="n">
        <v>57881.05</v>
      </c>
      <c r="N321" s="7" t="s">
        <v>99</v>
      </c>
      <c r="O321" s="7" t="s">
        <v>147</v>
      </c>
      <c r="P321" s="7"/>
      <c r="Q321" s="7"/>
      <c r="R321" s="7"/>
    </row>
    <row r="322" customFormat="false" ht="15" hidden="false" customHeight="false" outlineLevel="0" collapsed="false">
      <c r="A322" s="7" t="s">
        <v>767</v>
      </c>
      <c r="B322" s="7" t="s">
        <v>321</v>
      </c>
      <c r="C322" s="7" t="s">
        <v>322</v>
      </c>
      <c r="D322" s="7" t="s">
        <v>201</v>
      </c>
      <c r="E322" s="7" t="s">
        <v>94</v>
      </c>
      <c r="F322" s="7" t="s">
        <v>157</v>
      </c>
      <c r="G322" s="7" t="s">
        <v>96</v>
      </c>
      <c r="H322" s="7" t="s">
        <v>180</v>
      </c>
      <c r="I322" s="7" t="s">
        <v>181</v>
      </c>
      <c r="J322" s="8" t="n">
        <v>45703</v>
      </c>
      <c r="K322" s="8" t="n">
        <v>45789</v>
      </c>
      <c r="L322" s="9" t="n">
        <f aca="false">K322-J322</f>
        <v>86</v>
      </c>
      <c r="M322" s="10" t="n">
        <v>77638.02</v>
      </c>
      <c r="N322" s="7" t="s">
        <v>131</v>
      </c>
      <c r="O322" s="7"/>
      <c r="P322" s="8" t="n">
        <v>45813</v>
      </c>
      <c r="Q322" s="7" t="n">
        <v>3</v>
      </c>
      <c r="R322" s="8" t="n">
        <f aca="false">EDATE(P322,Q322)</f>
        <v>45905</v>
      </c>
    </row>
    <row r="323" customFormat="false" ht="15" hidden="false" customHeight="false" outlineLevel="0" collapsed="false">
      <c r="A323" s="7" t="s">
        <v>768</v>
      </c>
      <c r="B323" s="7" t="s">
        <v>769</v>
      </c>
      <c r="C323" s="7" t="s">
        <v>770</v>
      </c>
      <c r="D323" s="7" t="s">
        <v>114</v>
      </c>
      <c r="E323" s="7" t="s">
        <v>162</v>
      </c>
      <c r="F323" s="7" t="s">
        <v>128</v>
      </c>
      <c r="G323" s="7" t="s">
        <v>137</v>
      </c>
      <c r="H323" s="7" t="s">
        <v>278</v>
      </c>
      <c r="I323" s="7" t="s">
        <v>279</v>
      </c>
      <c r="J323" s="8" t="n">
        <v>45700</v>
      </c>
      <c r="K323" s="8" t="n">
        <v>45790</v>
      </c>
      <c r="L323" s="9" t="n">
        <f aca="false">K323-J323</f>
        <v>90</v>
      </c>
      <c r="M323" s="10" t="n">
        <v>46370.9</v>
      </c>
      <c r="N323" s="7" t="s">
        <v>99</v>
      </c>
      <c r="O323" s="7" t="s">
        <v>147</v>
      </c>
      <c r="P323" s="7"/>
      <c r="Q323" s="7"/>
      <c r="R323" s="7"/>
    </row>
    <row r="324" customFormat="false" ht="15" hidden="false" customHeight="false" outlineLevel="0" collapsed="false">
      <c r="A324" s="7" t="s">
        <v>771</v>
      </c>
      <c r="B324" s="7" t="s">
        <v>318</v>
      </c>
      <c r="C324" s="7" t="s">
        <v>319</v>
      </c>
      <c r="D324" s="7" t="s">
        <v>114</v>
      </c>
      <c r="E324" s="7" t="s">
        <v>94</v>
      </c>
      <c r="F324" s="7" t="s">
        <v>157</v>
      </c>
      <c r="G324" s="7" t="s">
        <v>96</v>
      </c>
      <c r="H324" s="7" t="s">
        <v>205</v>
      </c>
      <c r="I324" s="7" t="s">
        <v>206</v>
      </c>
      <c r="J324" s="8" t="n">
        <v>45705</v>
      </c>
      <c r="K324" s="8" t="n">
        <v>45791</v>
      </c>
      <c r="L324" s="9" t="n">
        <f aca="false">K324-J324</f>
        <v>86</v>
      </c>
      <c r="M324" s="10" t="n">
        <v>158670.17</v>
      </c>
      <c r="N324" s="7" t="s">
        <v>99</v>
      </c>
      <c r="O324" s="7" t="s">
        <v>118</v>
      </c>
      <c r="P324" s="7"/>
      <c r="Q324" s="7"/>
      <c r="R324" s="7"/>
    </row>
    <row r="325" customFormat="false" ht="15" hidden="false" customHeight="false" outlineLevel="0" collapsed="false">
      <c r="A325" s="7" t="s">
        <v>772</v>
      </c>
      <c r="B325" s="7" t="s">
        <v>362</v>
      </c>
      <c r="C325" s="7" t="s">
        <v>363</v>
      </c>
      <c r="D325" s="7" t="s">
        <v>195</v>
      </c>
      <c r="E325" s="7" t="s">
        <v>162</v>
      </c>
      <c r="F325" s="7" t="s">
        <v>128</v>
      </c>
      <c r="G325" s="7" t="s">
        <v>176</v>
      </c>
      <c r="H325" s="7" t="s">
        <v>138</v>
      </c>
      <c r="I325" s="7" t="s">
        <v>139</v>
      </c>
      <c r="J325" s="8" t="n">
        <v>45712</v>
      </c>
      <c r="K325" s="8" t="n">
        <v>45791</v>
      </c>
      <c r="L325" s="9" t="n">
        <f aca="false">K325-J325</f>
        <v>79</v>
      </c>
      <c r="M325" s="10" t="n">
        <v>61174.55</v>
      </c>
      <c r="N325" s="7" t="s">
        <v>99</v>
      </c>
      <c r="O325" s="7" t="s">
        <v>110</v>
      </c>
      <c r="P325" s="7"/>
      <c r="Q325" s="7"/>
      <c r="R325" s="7"/>
    </row>
    <row r="326" customFormat="false" ht="15" hidden="false" customHeight="false" outlineLevel="0" collapsed="false">
      <c r="A326" s="7" t="s">
        <v>773</v>
      </c>
      <c r="B326" s="7" t="s">
        <v>546</v>
      </c>
      <c r="C326" s="7" t="s">
        <v>547</v>
      </c>
      <c r="D326" s="7" t="s">
        <v>201</v>
      </c>
      <c r="E326" s="7" t="s">
        <v>105</v>
      </c>
      <c r="F326" s="7" t="s">
        <v>95</v>
      </c>
      <c r="G326" s="7" t="s">
        <v>144</v>
      </c>
      <c r="H326" s="7" t="s">
        <v>258</v>
      </c>
      <c r="I326" s="7" t="s">
        <v>259</v>
      </c>
      <c r="J326" s="8" t="n">
        <v>45740</v>
      </c>
      <c r="K326" s="8" t="n">
        <v>45791</v>
      </c>
      <c r="L326" s="9" t="n">
        <f aca="false">K326-J326</f>
        <v>51</v>
      </c>
      <c r="M326" s="10" t="n">
        <v>60836.82</v>
      </c>
      <c r="N326" s="7" t="s">
        <v>99</v>
      </c>
      <c r="O326" s="7" t="s">
        <v>147</v>
      </c>
      <c r="P326" s="7"/>
      <c r="Q326" s="7"/>
      <c r="R326" s="7"/>
    </row>
    <row r="327" customFormat="false" ht="15" hidden="false" customHeight="false" outlineLevel="0" collapsed="false">
      <c r="A327" s="7" t="s">
        <v>774</v>
      </c>
      <c r="B327" s="7" t="s">
        <v>470</v>
      </c>
      <c r="C327" s="7" t="s">
        <v>471</v>
      </c>
      <c r="D327" s="7" t="s">
        <v>201</v>
      </c>
      <c r="E327" s="7" t="s">
        <v>115</v>
      </c>
      <c r="F327" s="7" t="s">
        <v>106</v>
      </c>
      <c r="G327" s="7" t="s">
        <v>184</v>
      </c>
      <c r="H327" s="7" t="s">
        <v>402</v>
      </c>
      <c r="I327" s="7" t="s">
        <v>403</v>
      </c>
      <c r="J327" s="8" t="n">
        <v>45704</v>
      </c>
      <c r="K327" s="8" t="n">
        <v>45792</v>
      </c>
      <c r="L327" s="9" t="n">
        <f aca="false">K327-J327</f>
        <v>88</v>
      </c>
      <c r="M327" s="10" t="n">
        <v>73935.56</v>
      </c>
      <c r="N327" s="7" t="s">
        <v>131</v>
      </c>
      <c r="O327" s="7"/>
      <c r="P327" s="8" t="n">
        <v>45816</v>
      </c>
      <c r="Q327" s="7" t="n">
        <v>2</v>
      </c>
      <c r="R327" s="8" t="n">
        <f aca="false">EDATE(P327,Q327)</f>
        <v>45877</v>
      </c>
    </row>
    <row r="328" customFormat="false" ht="15" hidden="false" customHeight="false" outlineLevel="0" collapsed="false">
      <c r="A328" s="7" t="s">
        <v>775</v>
      </c>
      <c r="B328" s="7" t="s">
        <v>776</v>
      </c>
      <c r="C328" s="7" t="s">
        <v>777</v>
      </c>
      <c r="D328" s="7" t="s">
        <v>242</v>
      </c>
      <c r="E328" s="7" t="s">
        <v>94</v>
      </c>
      <c r="F328" s="7" t="s">
        <v>116</v>
      </c>
      <c r="G328" s="7" t="s">
        <v>96</v>
      </c>
      <c r="H328" s="7" t="s">
        <v>258</v>
      </c>
      <c r="I328" s="7" t="s">
        <v>259</v>
      </c>
      <c r="J328" s="8" t="n">
        <v>45726</v>
      </c>
      <c r="K328" s="8" t="n">
        <v>45792</v>
      </c>
      <c r="L328" s="9" t="n">
        <f aca="false">K328-J328</f>
        <v>66</v>
      </c>
      <c r="M328" s="10" t="n">
        <v>103127.96</v>
      </c>
      <c r="N328" s="7" t="s">
        <v>131</v>
      </c>
      <c r="O328" s="7"/>
      <c r="P328" s="8" t="n">
        <v>45805</v>
      </c>
      <c r="Q328" s="7" t="n">
        <v>5</v>
      </c>
      <c r="R328" s="8" t="n">
        <f aca="false">EDATE(P328,Q328)</f>
        <v>45958</v>
      </c>
    </row>
    <row r="329" customFormat="false" ht="15" hidden="false" customHeight="false" outlineLevel="0" collapsed="false">
      <c r="A329" s="7" t="s">
        <v>778</v>
      </c>
      <c r="B329" s="7" t="s">
        <v>517</v>
      </c>
      <c r="C329" s="7" t="s">
        <v>518</v>
      </c>
      <c r="D329" s="7" t="s">
        <v>151</v>
      </c>
      <c r="E329" s="7" t="s">
        <v>115</v>
      </c>
      <c r="F329" s="7" t="s">
        <v>157</v>
      </c>
      <c r="G329" s="7" t="s">
        <v>144</v>
      </c>
      <c r="H329" s="7" t="s">
        <v>185</v>
      </c>
      <c r="I329" s="7" t="s">
        <v>186</v>
      </c>
      <c r="J329" s="8" t="n">
        <v>45715</v>
      </c>
      <c r="K329" s="8" t="n">
        <v>45794</v>
      </c>
      <c r="L329" s="9" t="n">
        <f aca="false">K329-J329</f>
        <v>79</v>
      </c>
      <c r="M329" s="10" t="n">
        <v>97719.42</v>
      </c>
      <c r="N329" s="7" t="s">
        <v>99</v>
      </c>
      <c r="O329" s="7" t="s">
        <v>100</v>
      </c>
      <c r="P329" s="7"/>
      <c r="Q329" s="7"/>
      <c r="R329" s="7"/>
    </row>
    <row r="330" customFormat="false" ht="15" hidden="false" customHeight="false" outlineLevel="0" collapsed="false">
      <c r="A330" s="7" t="s">
        <v>779</v>
      </c>
      <c r="B330" s="7" t="s">
        <v>780</v>
      </c>
      <c r="C330" s="7" t="s">
        <v>781</v>
      </c>
      <c r="D330" s="7" t="s">
        <v>114</v>
      </c>
      <c r="E330" s="7" t="s">
        <v>105</v>
      </c>
      <c r="F330" s="7" t="s">
        <v>116</v>
      </c>
      <c r="G330" s="7" t="s">
        <v>96</v>
      </c>
      <c r="H330" s="7" t="s">
        <v>122</v>
      </c>
      <c r="I330" s="7" t="s">
        <v>123</v>
      </c>
      <c r="J330" s="8" t="n">
        <v>45679</v>
      </c>
      <c r="K330" s="8" t="n">
        <v>45794</v>
      </c>
      <c r="L330" s="9" t="n">
        <f aca="false">K330-J330</f>
        <v>115</v>
      </c>
      <c r="M330" s="10" t="n">
        <v>172502.55</v>
      </c>
      <c r="N330" s="7" t="s">
        <v>131</v>
      </c>
      <c r="O330" s="7"/>
      <c r="P330" s="8" t="n">
        <v>45814</v>
      </c>
      <c r="Q330" s="7" t="n">
        <v>4</v>
      </c>
      <c r="R330" s="8" t="n">
        <f aca="false">EDATE(P330,Q330)</f>
        <v>45936</v>
      </c>
    </row>
    <row r="331" customFormat="false" ht="15" hidden="false" customHeight="false" outlineLevel="0" collapsed="false">
      <c r="A331" s="7" t="s">
        <v>782</v>
      </c>
      <c r="B331" s="7" t="s">
        <v>287</v>
      </c>
      <c r="C331" s="7" t="s">
        <v>288</v>
      </c>
      <c r="D331" s="7" t="s">
        <v>151</v>
      </c>
      <c r="E331" s="7" t="s">
        <v>94</v>
      </c>
      <c r="F331" s="7" t="s">
        <v>95</v>
      </c>
      <c r="G331" s="7" t="s">
        <v>137</v>
      </c>
      <c r="H331" s="7" t="s">
        <v>180</v>
      </c>
      <c r="I331" s="7" t="s">
        <v>181</v>
      </c>
      <c r="J331" s="8" t="n">
        <v>45728</v>
      </c>
      <c r="K331" s="8" t="n">
        <v>45794</v>
      </c>
      <c r="L331" s="9" t="n">
        <f aca="false">K331-J331</f>
        <v>66</v>
      </c>
      <c r="M331" s="10" t="n">
        <v>175256.45</v>
      </c>
      <c r="N331" s="7" t="s">
        <v>99</v>
      </c>
      <c r="O331" s="7" t="s">
        <v>219</v>
      </c>
      <c r="P331" s="7"/>
      <c r="Q331" s="7"/>
      <c r="R331" s="7"/>
    </row>
    <row r="332" customFormat="false" ht="15" hidden="false" customHeight="false" outlineLevel="0" collapsed="false">
      <c r="A332" s="7" t="s">
        <v>783</v>
      </c>
      <c r="B332" s="7" t="s">
        <v>234</v>
      </c>
      <c r="C332" s="7" t="s">
        <v>235</v>
      </c>
      <c r="D332" s="7" t="s">
        <v>114</v>
      </c>
      <c r="E332" s="7" t="s">
        <v>115</v>
      </c>
      <c r="F332" s="7" t="s">
        <v>143</v>
      </c>
      <c r="G332" s="7" t="s">
        <v>137</v>
      </c>
      <c r="H332" s="7" t="s">
        <v>152</v>
      </c>
      <c r="I332" s="7" t="s">
        <v>153</v>
      </c>
      <c r="J332" s="8" t="n">
        <v>45705</v>
      </c>
      <c r="K332" s="8" t="n">
        <v>45794</v>
      </c>
      <c r="L332" s="9" t="n">
        <f aca="false">K332-J332</f>
        <v>89</v>
      </c>
      <c r="M332" s="10" t="n">
        <v>157141.53</v>
      </c>
      <c r="N332" s="7" t="s">
        <v>131</v>
      </c>
      <c r="O332" s="7"/>
      <c r="P332" s="8" t="n">
        <v>45808</v>
      </c>
      <c r="Q332" s="7" t="n">
        <v>12</v>
      </c>
      <c r="R332" s="8" t="n">
        <f aca="false">EDATE(P332,Q332)</f>
        <v>46173</v>
      </c>
    </row>
    <row r="333" customFormat="false" ht="15" hidden="false" customHeight="false" outlineLevel="0" collapsed="false">
      <c r="A333" s="7" t="s">
        <v>784</v>
      </c>
      <c r="B333" s="7" t="s">
        <v>169</v>
      </c>
      <c r="C333" s="7" t="s">
        <v>170</v>
      </c>
      <c r="D333" s="7" t="s">
        <v>104</v>
      </c>
      <c r="E333" s="7" t="s">
        <v>94</v>
      </c>
      <c r="F333" s="7" t="s">
        <v>183</v>
      </c>
      <c r="G333" s="7" t="s">
        <v>107</v>
      </c>
      <c r="H333" s="7" t="s">
        <v>205</v>
      </c>
      <c r="I333" s="7" t="s">
        <v>206</v>
      </c>
      <c r="J333" s="8" t="n">
        <v>45746</v>
      </c>
      <c r="K333" s="8" t="n">
        <v>45794</v>
      </c>
      <c r="L333" s="9" t="n">
        <f aca="false">K333-J333</f>
        <v>48</v>
      </c>
      <c r="M333" s="10" t="n">
        <v>121387.89</v>
      </c>
      <c r="N333" s="7" t="s">
        <v>131</v>
      </c>
      <c r="O333" s="7"/>
      <c r="P333" s="8" t="n">
        <v>45815</v>
      </c>
      <c r="Q333" s="7" t="n">
        <v>3</v>
      </c>
      <c r="R333" s="8" t="n">
        <f aca="false">EDATE(P333,Q333)</f>
        <v>45907</v>
      </c>
    </row>
    <row r="334" customFormat="false" ht="15" hidden="false" customHeight="false" outlineLevel="0" collapsed="false">
      <c r="A334" s="7" t="s">
        <v>785</v>
      </c>
      <c r="B334" s="7" t="s">
        <v>164</v>
      </c>
      <c r="C334" s="7" t="s">
        <v>165</v>
      </c>
      <c r="D334" s="7" t="s">
        <v>151</v>
      </c>
      <c r="E334" s="7" t="s">
        <v>94</v>
      </c>
      <c r="F334" s="7" t="s">
        <v>183</v>
      </c>
      <c r="G334" s="7" t="s">
        <v>144</v>
      </c>
      <c r="H334" s="7" t="s">
        <v>138</v>
      </c>
      <c r="I334" s="7" t="s">
        <v>139</v>
      </c>
      <c r="J334" s="8" t="n">
        <v>45712</v>
      </c>
      <c r="K334" s="8" t="n">
        <v>45799</v>
      </c>
      <c r="L334" s="9" t="n">
        <f aca="false">K334-J334</f>
        <v>87</v>
      </c>
      <c r="M334" s="10" t="n">
        <v>127917.39</v>
      </c>
      <c r="N334" s="7" t="s">
        <v>131</v>
      </c>
      <c r="O334" s="7"/>
      <c r="P334" s="8" t="n">
        <v>45815</v>
      </c>
      <c r="Q334" s="7" t="n">
        <v>1</v>
      </c>
      <c r="R334" s="8" t="n">
        <f aca="false">EDATE(P334,Q334)</f>
        <v>45845</v>
      </c>
    </row>
    <row r="335" customFormat="false" ht="15" hidden="false" customHeight="false" outlineLevel="0" collapsed="false">
      <c r="A335" s="7" t="s">
        <v>786</v>
      </c>
      <c r="B335" s="7" t="s">
        <v>400</v>
      </c>
      <c r="C335" s="7" t="s">
        <v>401</v>
      </c>
      <c r="D335" s="7" t="s">
        <v>135</v>
      </c>
      <c r="E335" s="7" t="s">
        <v>162</v>
      </c>
      <c r="F335" s="7" t="s">
        <v>116</v>
      </c>
      <c r="G335" s="7" t="s">
        <v>117</v>
      </c>
      <c r="H335" s="7" t="s">
        <v>223</v>
      </c>
      <c r="I335" s="7" t="s">
        <v>224</v>
      </c>
      <c r="J335" s="8" t="n">
        <v>45677</v>
      </c>
      <c r="K335" s="8" t="n">
        <v>45799</v>
      </c>
      <c r="L335" s="9" t="n">
        <f aca="false">K335-J335</f>
        <v>122</v>
      </c>
      <c r="M335" s="10" t="n">
        <v>248395.57</v>
      </c>
      <c r="N335" s="7" t="s">
        <v>99</v>
      </c>
      <c r="O335" s="7" t="s">
        <v>100</v>
      </c>
      <c r="P335" s="7"/>
      <c r="Q335" s="7"/>
      <c r="R335" s="7"/>
    </row>
    <row r="336" customFormat="false" ht="15" hidden="false" customHeight="false" outlineLevel="0" collapsed="false">
      <c r="A336" s="7" t="s">
        <v>787</v>
      </c>
      <c r="B336" s="7" t="s">
        <v>297</v>
      </c>
      <c r="C336" s="7" t="s">
        <v>298</v>
      </c>
      <c r="D336" s="7" t="s">
        <v>201</v>
      </c>
      <c r="E336" s="7" t="s">
        <v>162</v>
      </c>
      <c r="F336" s="7" t="s">
        <v>116</v>
      </c>
      <c r="G336" s="7" t="s">
        <v>107</v>
      </c>
      <c r="H336" s="7" t="s">
        <v>166</v>
      </c>
      <c r="I336" s="7" t="s">
        <v>167</v>
      </c>
      <c r="J336" s="8" t="n">
        <v>45743</v>
      </c>
      <c r="K336" s="8" t="n">
        <v>45802</v>
      </c>
      <c r="L336" s="9" t="n">
        <f aca="false">K336-J336</f>
        <v>59</v>
      </c>
      <c r="M336" s="10" t="n">
        <v>109515.3</v>
      </c>
      <c r="N336" s="7" t="s">
        <v>131</v>
      </c>
      <c r="O336" s="7"/>
      <c r="P336" s="8" t="n">
        <v>45806</v>
      </c>
      <c r="Q336" s="7" t="n">
        <v>9</v>
      </c>
      <c r="R336" s="8" t="n">
        <f aca="false">EDATE(P336,Q336)</f>
        <v>46081</v>
      </c>
    </row>
    <row r="337" customFormat="false" ht="15" hidden="false" customHeight="false" outlineLevel="0" collapsed="false">
      <c r="A337" s="7" t="s">
        <v>788</v>
      </c>
      <c r="B337" s="7" t="s">
        <v>188</v>
      </c>
      <c r="C337" s="7" t="s">
        <v>189</v>
      </c>
      <c r="D337" s="7" t="s">
        <v>151</v>
      </c>
      <c r="E337" s="7" t="s">
        <v>105</v>
      </c>
      <c r="F337" s="7" t="s">
        <v>183</v>
      </c>
      <c r="G337" s="7" t="s">
        <v>96</v>
      </c>
      <c r="H337" s="7" t="s">
        <v>129</v>
      </c>
      <c r="I337" s="7" t="s">
        <v>130</v>
      </c>
      <c r="J337" s="8" t="n">
        <v>45708</v>
      </c>
      <c r="K337" s="8" t="n">
        <v>45802</v>
      </c>
      <c r="L337" s="9" t="n">
        <f aca="false">K337-J337</f>
        <v>94</v>
      </c>
      <c r="M337" s="10" t="n">
        <v>52578.28</v>
      </c>
      <c r="N337" s="7" t="s">
        <v>131</v>
      </c>
      <c r="O337" s="7"/>
      <c r="P337" s="8" t="n">
        <v>45821</v>
      </c>
      <c r="Q337" s="7" t="n">
        <v>1</v>
      </c>
      <c r="R337" s="8" t="n">
        <f aca="false">EDATE(P337,Q337)</f>
        <v>45851</v>
      </c>
    </row>
    <row r="338" customFormat="false" ht="15" hidden="false" customHeight="false" outlineLevel="0" collapsed="false">
      <c r="A338" s="7" t="s">
        <v>789</v>
      </c>
      <c r="B338" s="7" t="s">
        <v>790</v>
      </c>
      <c r="C338" s="7" t="s">
        <v>791</v>
      </c>
      <c r="D338" s="7" t="s">
        <v>93</v>
      </c>
      <c r="E338" s="7" t="s">
        <v>115</v>
      </c>
      <c r="F338" s="7" t="s">
        <v>106</v>
      </c>
      <c r="G338" s="7" t="s">
        <v>144</v>
      </c>
      <c r="H338" s="7" t="s">
        <v>129</v>
      </c>
      <c r="I338" s="7" t="s">
        <v>130</v>
      </c>
      <c r="J338" s="8" t="n">
        <v>45750</v>
      </c>
      <c r="K338" s="8" t="n">
        <v>45803</v>
      </c>
      <c r="L338" s="9" t="n">
        <f aca="false">K338-J338</f>
        <v>53</v>
      </c>
      <c r="M338" s="10" t="n">
        <v>61187.97</v>
      </c>
      <c r="N338" s="7" t="s">
        <v>99</v>
      </c>
      <c r="O338" s="7" t="s">
        <v>100</v>
      </c>
      <c r="P338" s="7"/>
      <c r="Q338" s="7"/>
      <c r="R338" s="7"/>
    </row>
    <row r="339" customFormat="false" ht="15" hidden="false" customHeight="false" outlineLevel="0" collapsed="false">
      <c r="A339" s="7" t="s">
        <v>792</v>
      </c>
      <c r="B339" s="7" t="s">
        <v>724</v>
      </c>
      <c r="C339" s="7" t="s">
        <v>725</v>
      </c>
      <c r="D339" s="7" t="s">
        <v>195</v>
      </c>
      <c r="E339" s="7" t="s">
        <v>115</v>
      </c>
      <c r="F339" s="7" t="s">
        <v>183</v>
      </c>
      <c r="G339" s="7" t="s">
        <v>96</v>
      </c>
      <c r="H339" s="7" t="s">
        <v>108</v>
      </c>
      <c r="I339" s="7" t="s">
        <v>109</v>
      </c>
      <c r="J339" s="8" t="n">
        <v>45746</v>
      </c>
      <c r="K339" s="8" t="n">
        <v>45807</v>
      </c>
      <c r="L339" s="9" t="n">
        <f aca="false">K339-J339</f>
        <v>61</v>
      </c>
      <c r="M339" s="10" t="n">
        <v>51358.26</v>
      </c>
      <c r="N339" s="7" t="s">
        <v>99</v>
      </c>
      <c r="O339" s="7" t="s">
        <v>100</v>
      </c>
      <c r="P339" s="7"/>
      <c r="Q339" s="7"/>
      <c r="R339" s="7"/>
    </row>
    <row r="340" customFormat="false" ht="15" hidden="false" customHeight="false" outlineLevel="0" collapsed="false">
      <c r="A340" s="7" t="s">
        <v>793</v>
      </c>
      <c r="B340" s="7" t="s">
        <v>91</v>
      </c>
      <c r="C340" s="7" t="s">
        <v>92</v>
      </c>
      <c r="D340" s="7" t="s">
        <v>93</v>
      </c>
      <c r="E340" s="7" t="s">
        <v>94</v>
      </c>
      <c r="F340" s="7" t="s">
        <v>136</v>
      </c>
      <c r="G340" s="7" t="s">
        <v>96</v>
      </c>
      <c r="H340" s="7" t="s">
        <v>270</v>
      </c>
      <c r="I340" s="7" t="s">
        <v>271</v>
      </c>
      <c r="J340" s="8" t="n">
        <v>45724</v>
      </c>
      <c r="K340" s="8" t="n">
        <v>45808</v>
      </c>
      <c r="L340" s="9" t="n">
        <f aca="false">K340-J340</f>
        <v>84</v>
      </c>
      <c r="M340" s="10" t="n">
        <v>45770.52</v>
      </c>
      <c r="N340" s="7" t="s">
        <v>131</v>
      </c>
      <c r="O340" s="7"/>
      <c r="P340" s="8" t="n">
        <v>45819</v>
      </c>
      <c r="Q340" s="7" t="n">
        <v>5</v>
      </c>
      <c r="R340" s="8" t="n">
        <f aca="false">EDATE(P340,Q340)</f>
        <v>45972</v>
      </c>
    </row>
    <row r="341" customFormat="false" ht="15" hidden="false" customHeight="false" outlineLevel="0" collapsed="false">
      <c r="A341" s="7" t="s">
        <v>794</v>
      </c>
      <c r="B341" s="7" t="s">
        <v>334</v>
      </c>
      <c r="C341" s="7" t="s">
        <v>335</v>
      </c>
      <c r="D341" s="7" t="s">
        <v>242</v>
      </c>
      <c r="E341" s="7" t="s">
        <v>162</v>
      </c>
      <c r="F341" s="7" t="s">
        <v>106</v>
      </c>
      <c r="G341" s="7" t="s">
        <v>184</v>
      </c>
      <c r="H341" s="7" t="s">
        <v>166</v>
      </c>
      <c r="I341" s="7" t="s">
        <v>167</v>
      </c>
      <c r="J341" s="8" t="n">
        <v>45742</v>
      </c>
      <c r="K341" s="8" t="n">
        <v>45810</v>
      </c>
      <c r="L341" s="9" t="n">
        <f aca="false">K341-J341</f>
        <v>68</v>
      </c>
      <c r="M341" s="10" t="n">
        <v>74742.82</v>
      </c>
      <c r="N341" s="7" t="s">
        <v>131</v>
      </c>
      <c r="O341" s="7"/>
      <c r="P341" s="8" t="n">
        <v>45815</v>
      </c>
      <c r="Q341" s="7" t="n">
        <v>2</v>
      </c>
      <c r="R341" s="8" t="n">
        <f aca="false">EDATE(P341,Q341)</f>
        <v>45876</v>
      </c>
    </row>
    <row r="342" customFormat="false" ht="15" hidden="false" customHeight="false" outlineLevel="0" collapsed="false">
      <c r="A342" s="7" t="s">
        <v>795</v>
      </c>
      <c r="B342" s="7" t="s">
        <v>211</v>
      </c>
      <c r="C342" s="7" t="s">
        <v>212</v>
      </c>
      <c r="D342" s="7" t="s">
        <v>201</v>
      </c>
      <c r="E342" s="7" t="s">
        <v>105</v>
      </c>
      <c r="F342" s="7" t="s">
        <v>183</v>
      </c>
      <c r="G342" s="7" t="s">
        <v>96</v>
      </c>
      <c r="H342" s="7" t="s">
        <v>258</v>
      </c>
      <c r="I342" s="7" t="s">
        <v>259</v>
      </c>
      <c r="J342" s="8" t="n">
        <v>45725</v>
      </c>
      <c r="K342" s="8" t="n">
        <v>45811</v>
      </c>
      <c r="L342" s="9" t="n">
        <f aca="false">K342-J342</f>
        <v>86</v>
      </c>
      <c r="M342" s="10" t="n">
        <v>136012.12</v>
      </c>
      <c r="N342" s="7" t="s">
        <v>131</v>
      </c>
      <c r="O342" s="7"/>
      <c r="P342" s="8" t="n">
        <v>45833</v>
      </c>
      <c r="Q342" s="7" t="n">
        <v>1</v>
      </c>
      <c r="R342" s="8" t="n">
        <f aca="false">EDATE(P342,Q342)</f>
        <v>45863</v>
      </c>
    </row>
    <row r="343" customFormat="false" ht="15" hidden="false" customHeight="false" outlineLevel="0" collapsed="false">
      <c r="A343" s="7" t="s">
        <v>796</v>
      </c>
      <c r="B343" s="7" t="s">
        <v>512</v>
      </c>
      <c r="C343" s="7" t="s">
        <v>513</v>
      </c>
      <c r="D343" s="7" t="s">
        <v>114</v>
      </c>
      <c r="E343" s="7" t="s">
        <v>115</v>
      </c>
      <c r="F343" s="7" t="s">
        <v>143</v>
      </c>
      <c r="G343" s="7" t="s">
        <v>137</v>
      </c>
      <c r="H343" s="7" t="s">
        <v>270</v>
      </c>
      <c r="I343" s="7" t="s">
        <v>271</v>
      </c>
      <c r="J343" s="8" t="n">
        <v>45710</v>
      </c>
      <c r="K343" s="8" t="n">
        <v>45811</v>
      </c>
      <c r="L343" s="9" t="n">
        <f aca="false">K343-J343</f>
        <v>101</v>
      </c>
      <c r="M343" s="10" t="n">
        <v>163590.26</v>
      </c>
      <c r="N343" s="7" t="s">
        <v>99</v>
      </c>
      <c r="O343" s="7" t="s">
        <v>147</v>
      </c>
      <c r="P343" s="7"/>
      <c r="Q343" s="7"/>
      <c r="R343" s="7"/>
    </row>
    <row r="344" customFormat="false" ht="15" hidden="false" customHeight="false" outlineLevel="0" collapsed="false">
      <c r="A344" s="7" t="s">
        <v>797</v>
      </c>
      <c r="B344" s="7" t="s">
        <v>395</v>
      </c>
      <c r="C344" s="7" t="s">
        <v>396</v>
      </c>
      <c r="D344" s="7" t="s">
        <v>195</v>
      </c>
      <c r="E344" s="7" t="s">
        <v>162</v>
      </c>
      <c r="F344" s="7" t="s">
        <v>95</v>
      </c>
      <c r="G344" s="7" t="s">
        <v>137</v>
      </c>
      <c r="H344" s="7" t="s">
        <v>152</v>
      </c>
      <c r="I344" s="7" t="s">
        <v>153</v>
      </c>
      <c r="J344" s="8" t="n">
        <v>45756</v>
      </c>
      <c r="K344" s="8" t="n">
        <v>45812</v>
      </c>
      <c r="L344" s="9" t="n">
        <f aca="false">K344-J344</f>
        <v>56</v>
      </c>
      <c r="M344" s="10" t="n">
        <v>67828.52</v>
      </c>
      <c r="N344" s="7" t="s">
        <v>131</v>
      </c>
      <c r="O344" s="7"/>
      <c r="P344" s="8" t="n">
        <v>45815</v>
      </c>
      <c r="Q344" s="7" t="n">
        <v>1</v>
      </c>
      <c r="R344" s="8" t="n">
        <f aca="false">EDATE(P344,Q344)</f>
        <v>45845</v>
      </c>
    </row>
    <row r="345" customFormat="false" ht="15" hidden="false" customHeight="false" outlineLevel="0" collapsed="false">
      <c r="A345" s="7" t="s">
        <v>798</v>
      </c>
      <c r="B345" s="7" t="s">
        <v>799</v>
      </c>
      <c r="C345" s="7" t="s">
        <v>800</v>
      </c>
      <c r="D345" s="7" t="s">
        <v>195</v>
      </c>
      <c r="E345" s="7" t="s">
        <v>105</v>
      </c>
      <c r="F345" s="7" t="s">
        <v>106</v>
      </c>
      <c r="G345" s="7" t="s">
        <v>117</v>
      </c>
      <c r="H345" s="7" t="s">
        <v>108</v>
      </c>
      <c r="I345" s="7" t="s">
        <v>109</v>
      </c>
      <c r="J345" s="8" t="n">
        <v>45760</v>
      </c>
      <c r="K345" s="8" t="n">
        <v>45814</v>
      </c>
      <c r="L345" s="9" t="n">
        <f aca="false">K345-J345</f>
        <v>54</v>
      </c>
      <c r="M345" s="10" t="n">
        <v>21842.1</v>
      </c>
      <c r="N345" s="7" t="s">
        <v>99</v>
      </c>
      <c r="O345" s="7" t="s">
        <v>110</v>
      </c>
      <c r="P345" s="7"/>
      <c r="Q345" s="7"/>
      <c r="R345" s="7"/>
    </row>
    <row r="346" customFormat="false" ht="15" hidden="false" customHeight="false" outlineLevel="0" collapsed="false">
      <c r="A346" s="7" t="s">
        <v>801</v>
      </c>
      <c r="B346" s="7" t="s">
        <v>616</v>
      </c>
      <c r="C346" s="7" t="s">
        <v>617</v>
      </c>
      <c r="D346" s="7" t="s">
        <v>201</v>
      </c>
      <c r="E346" s="7" t="s">
        <v>105</v>
      </c>
      <c r="F346" s="7" t="s">
        <v>116</v>
      </c>
      <c r="G346" s="7" t="s">
        <v>117</v>
      </c>
      <c r="H346" s="7" t="s">
        <v>213</v>
      </c>
      <c r="I346" s="7" t="s">
        <v>214</v>
      </c>
      <c r="J346" s="8" t="n">
        <v>45779</v>
      </c>
      <c r="K346" s="8" t="n">
        <v>45814</v>
      </c>
      <c r="L346" s="9" t="n">
        <f aca="false">K346-J346</f>
        <v>35</v>
      </c>
      <c r="M346" s="10" t="n">
        <v>70125.24</v>
      </c>
      <c r="N346" s="7" t="s">
        <v>131</v>
      </c>
      <c r="O346" s="7"/>
      <c r="P346" s="8" t="n">
        <v>45835</v>
      </c>
      <c r="Q346" s="7" t="n">
        <v>6</v>
      </c>
      <c r="R346" s="8" t="n">
        <f aca="false">EDATE(P346,Q346)</f>
        <v>46018</v>
      </c>
    </row>
    <row r="347" customFormat="false" ht="15" hidden="false" customHeight="false" outlineLevel="0" collapsed="false">
      <c r="A347" s="7" t="s">
        <v>802</v>
      </c>
      <c r="B347" s="7" t="s">
        <v>362</v>
      </c>
      <c r="C347" s="7" t="s">
        <v>363</v>
      </c>
      <c r="D347" s="7" t="s">
        <v>195</v>
      </c>
      <c r="E347" s="7" t="s">
        <v>162</v>
      </c>
      <c r="F347" s="7" t="s">
        <v>143</v>
      </c>
      <c r="G347" s="7" t="s">
        <v>107</v>
      </c>
      <c r="H347" s="7" t="s">
        <v>205</v>
      </c>
      <c r="I347" s="7" t="s">
        <v>206</v>
      </c>
      <c r="J347" s="8" t="n">
        <v>45767</v>
      </c>
      <c r="K347" s="8" t="n">
        <v>45815</v>
      </c>
      <c r="L347" s="9" t="n">
        <f aca="false">K347-J347</f>
        <v>48</v>
      </c>
      <c r="M347" s="10" t="n">
        <v>98804.09</v>
      </c>
      <c r="N347" s="7" t="s">
        <v>131</v>
      </c>
      <c r="O347" s="7"/>
      <c r="P347" s="8" t="n">
        <v>45824</v>
      </c>
      <c r="Q347" s="7" t="n">
        <v>6</v>
      </c>
      <c r="R347" s="8" t="n">
        <f aca="false">EDATE(P347,Q347)</f>
        <v>46007</v>
      </c>
    </row>
    <row r="348" customFormat="false" ht="15" hidden="false" customHeight="false" outlineLevel="0" collapsed="false">
      <c r="A348" s="7" t="s">
        <v>803</v>
      </c>
      <c r="B348" s="7" t="s">
        <v>717</v>
      </c>
      <c r="C348" s="7" t="s">
        <v>718</v>
      </c>
      <c r="D348" s="7" t="s">
        <v>114</v>
      </c>
      <c r="E348" s="7" t="s">
        <v>162</v>
      </c>
      <c r="F348" s="7" t="s">
        <v>136</v>
      </c>
      <c r="G348" s="7" t="s">
        <v>176</v>
      </c>
      <c r="H348" s="7" t="s">
        <v>281</v>
      </c>
      <c r="I348" s="7" t="s">
        <v>282</v>
      </c>
      <c r="J348" s="8" t="n">
        <v>45725</v>
      </c>
      <c r="K348" s="8" t="n">
        <v>45815</v>
      </c>
      <c r="L348" s="9" t="n">
        <f aca="false">K348-J348</f>
        <v>90</v>
      </c>
      <c r="M348" s="10" t="n">
        <v>130075.34</v>
      </c>
      <c r="N348" s="7" t="s">
        <v>131</v>
      </c>
      <c r="O348" s="7"/>
      <c r="P348" s="8" t="n">
        <v>45838</v>
      </c>
      <c r="Q348" s="7" t="n">
        <v>3</v>
      </c>
      <c r="R348" s="8" t="n">
        <f aca="false">EDATE(P348,Q348)</f>
        <v>45930</v>
      </c>
    </row>
    <row r="349" customFormat="false" ht="15" hidden="false" customHeight="false" outlineLevel="0" collapsed="false">
      <c r="A349" s="7" t="s">
        <v>804</v>
      </c>
      <c r="B349" s="7" t="s">
        <v>250</v>
      </c>
      <c r="C349" s="7" t="s">
        <v>251</v>
      </c>
      <c r="D349" s="7" t="s">
        <v>195</v>
      </c>
      <c r="E349" s="7" t="s">
        <v>105</v>
      </c>
      <c r="F349" s="7" t="s">
        <v>106</v>
      </c>
      <c r="G349" s="7" t="s">
        <v>137</v>
      </c>
      <c r="H349" s="7" t="s">
        <v>196</v>
      </c>
      <c r="I349" s="7" t="s">
        <v>197</v>
      </c>
      <c r="J349" s="8" t="n">
        <v>45733</v>
      </c>
      <c r="K349" s="8" t="n">
        <v>45816</v>
      </c>
      <c r="L349" s="9" t="n">
        <f aca="false">K349-J349</f>
        <v>83</v>
      </c>
      <c r="M349" s="10" t="n">
        <v>109511.87</v>
      </c>
      <c r="N349" s="7" t="s">
        <v>131</v>
      </c>
      <c r="O349" s="7"/>
      <c r="P349" s="8" t="n">
        <v>45832</v>
      </c>
      <c r="Q349" s="7" t="n">
        <v>4</v>
      </c>
      <c r="R349" s="8" t="n">
        <f aca="false">EDATE(P349,Q349)</f>
        <v>45954</v>
      </c>
    </row>
    <row r="350" customFormat="false" ht="15" hidden="false" customHeight="false" outlineLevel="0" collapsed="false">
      <c r="A350" s="7" t="s">
        <v>805</v>
      </c>
      <c r="B350" s="7" t="s">
        <v>164</v>
      </c>
      <c r="C350" s="7" t="s">
        <v>165</v>
      </c>
      <c r="D350" s="7" t="s">
        <v>151</v>
      </c>
      <c r="E350" s="7" t="s">
        <v>94</v>
      </c>
      <c r="F350" s="7" t="s">
        <v>128</v>
      </c>
      <c r="G350" s="7" t="s">
        <v>176</v>
      </c>
      <c r="H350" s="7" t="s">
        <v>185</v>
      </c>
      <c r="I350" s="7" t="s">
        <v>186</v>
      </c>
      <c r="J350" s="8" t="n">
        <v>45770</v>
      </c>
      <c r="K350" s="8" t="n">
        <v>45819</v>
      </c>
      <c r="L350" s="9" t="n">
        <f aca="false">K350-J350</f>
        <v>49</v>
      </c>
      <c r="M350" s="10" t="n">
        <v>27384.77</v>
      </c>
      <c r="N350" s="7" t="s">
        <v>131</v>
      </c>
      <c r="O350" s="7"/>
      <c r="P350" s="8" t="n">
        <v>45830</v>
      </c>
      <c r="Q350" s="7" t="n">
        <v>1</v>
      </c>
      <c r="R350" s="8" t="n">
        <f aca="false">EDATE(P350,Q350)</f>
        <v>45860</v>
      </c>
    </row>
    <row r="351" customFormat="false" ht="15" hidden="false" customHeight="false" outlineLevel="0" collapsed="false">
      <c r="A351" s="7" t="s">
        <v>806</v>
      </c>
      <c r="B351" s="7" t="s">
        <v>91</v>
      </c>
      <c r="C351" s="7" t="s">
        <v>92</v>
      </c>
      <c r="D351" s="7" t="s">
        <v>93</v>
      </c>
      <c r="E351" s="7" t="s">
        <v>94</v>
      </c>
      <c r="F351" s="7" t="s">
        <v>143</v>
      </c>
      <c r="G351" s="7" t="s">
        <v>144</v>
      </c>
      <c r="H351" s="7" t="s">
        <v>166</v>
      </c>
      <c r="I351" s="7" t="s">
        <v>167</v>
      </c>
      <c r="J351" s="8" t="n">
        <v>45720</v>
      </c>
      <c r="K351" s="8" t="n">
        <v>45822</v>
      </c>
      <c r="L351" s="9" t="n">
        <f aca="false">K351-J351</f>
        <v>102</v>
      </c>
      <c r="M351" s="10" t="n">
        <v>222878.01</v>
      </c>
      <c r="N351" s="7" t="s">
        <v>131</v>
      </c>
      <c r="O351" s="7"/>
      <c r="P351" s="8" t="n">
        <v>45831</v>
      </c>
      <c r="Q351" s="7" t="n">
        <v>10</v>
      </c>
      <c r="R351" s="8" t="n">
        <f aca="false">EDATE(P351,Q351)</f>
        <v>46135</v>
      </c>
    </row>
    <row r="352" customFormat="false" ht="15" hidden="false" customHeight="false" outlineLevel="0" collapsed="false">
      <c r="A352" s="7" t="s">
        <v>807</v>
      </c>
      <c r="B352" s="7" t="s">
        <v>330</v>
      </c>
      <c r="C352" s="7" t="s">
        <v>331</v>
      </c>
      <c r="D352" s="7" t="s">
        <v>242</v>
      </c>
      <c r="E352" s="7" t="s">
        <v>162</v>
      </c>
      <c r="F352" s="7" t="s">
        <v>116</v>
      </c>
      <c r="G352" s="7" t="s">
        <v>176</v>
      </c>
      <c r="H352" s="7" t="s">
        <v>108</v>
      </c>
      <c r="I352" s="7" t="s">
        <v>109</v>
      </c>
      <c r="J352" s="8" t="n">
        <v>45804</v>
      </c>
      <c r="K352" s="8" t="n">
        <v>45822</v>
      </c>
      <c r="L352" s="9" t="n">
        <f aca="false">K352-J352</f>
        <v>18</v>
      </c>
      <c r="M352" s="10" t="n">
        <v>65265.54</v>
      </c>
      <c r="N352" s="7" t="s">
        <v>131</v>
      </c>
      <c r="O352" s="7"/>
      <c r="P352" s="8" t="n">
        <v>45846</v>
      </c>
      <c r="Q352" s="7" t="n">
        <v>7</v>
      </c>
      <c r="R352" s="8" t="n">
        <f aca="false">EDATE(P352,Q352)</f>
        <v>46061</v>
      </c>
    </row>
    <row r="353" customFormat="false" ht="15" hidden="false" customHeight="false" outlineLevel="0" collapsed="false">
      <c r="A353" s="7" t="s">
        <v>808</v>
      </c>
      <c r="B353" s="7" t="s">
        <v>347</v>
      </c>
      <c r="C353" s="7" t="s">
        <v>348</v>
      </c>
      <c r="D353" s="7" t="s">
        <v>151</v>
      </c>
      <c r="E353" s="7" t="s">
        <v>94</v>
      </c>
      <c r="F353" s="7" t="s">
        <v>136</v>
      </c>
      <c r="G353" s="7" t="s">
        <v>176</v>
      </c>
      <c r="H353" s="7" t="s">
        <v>108</v>
      </c>
      <c r="I353" s="7" t="s">
        <v>109</v>
      </c>
      <c r="J353" s="8" t="n">
        <v>45709</v>
      </c>
      <c r="K353" s="8" t="n">
        <v>45824</v>
      </c>
      <c r="L353" s="9" t="n">
        <f aca="false">K353-J353</f>
        <v>115</v>
      </c>
      <c r="M353" s="10" t="n">
        <v>165002.37</v>
      </c>
      <c r="N353" s="7" t="s">
        <v>131</v>
      </c>
      <c r="O353" s="7"/>
      <c r="P353" s="8" t="n">
        <v>45843</v>
      </c>
      <c r="Q353" s="7" t="n">
        <v>4</v>
      </c>
      <c r="R353" s="8" t="n">
        <f aca="false">EDATE(P353,Q353)</f>
        <v>45966</v>
      </c>
    </row>
    <row r="354" customFormat="false" ht="15" hidden="false" customHeight="false" outlineLevel="0" collapsed="false">
      <c r="A354" s="7" t="s">
        <v>809</v>
      </c>
      <c r="B354" s="7" t="s">
        <v>623</v>
      </c>
      <c r="C354" s="7" t="s">
        <v>624</v>
      </c>
      <c r="D354" s="7" t="s">
        <v>93</v>
      </c>
      <c r="E354" s="7" t="s">
        <v>115</v>
      </c>
      <c r="F354" s="7" t="s">
        <v>143</v>
      </c>
      <c r="G354" s="7" t="s">
        <v>96</v>
      </c>
      <c r="H354" s="7" t="s">
        <v>305</v>
      </c>
      <c r="I354" s="7" t="s">
        <v>306</v>
      </c>
      <c r="J354" s="8" t="n">
        <v>45734</v>
      </c>
      <c r="K354" s="8" t="n">
        <v>45825</v>
      </c>
      <c r="L354" s="9" t="n">
        <f aca="false">K354-J354</f>
        <v>91</v>
      </c>
      <c r="M354" s="10" t="n">
        <v>145395.08</v>
      </c>
      <c r="N354" s="7" t="s">
        <v>99</v>
      </c>
      <c r="O354" s="7" t="s">
        <v>118</v>
      </c>
      <c r="P354" s="7"/>
      <c r="Q354" s="7"/>
      <c r="R354" s="7"/>
    </row>
    <row r="355" customFormat="false" ht="15" hidden="false" customHeight="false" outlineLevel="0" collapsed="false">
      <c r="A355" s="7" t="s">
        <v>810</v>
      </c>
      <c r="B355" s="7" t="s">
        <v>237</v>
      </c>
      <c r="C355" s="7" t="s">
        <v>238</v>
      </c>
      <c r="D355" s="7" t="s">
        <v>195</v>
      </c>
      <c r="E355" s="7" t="s">
        <v>94</v>
      </c>
      <c r="F355" s="7" t="s">
        <v>106</v>
      </c>
      <c r="G355" s="7" t="s">
        <v>117</v>
      </c>
      <c r="H355" s="7" t="s">
        <v>190</v>
      </c>
      <c r="I355" s="7" t="s">
        <v>191</v>
      </c>
      <c r="J355" s="8" t="n">
        <v>45759</v>
      </c>
      <c r="K355" s="8" t="n">
        <v>45829</v>
      </c>
      <c r="L355" s="9" t="n">
        <f aca="false">K355-J355</f>
        <v>70</v>
      </c>
      <c r="M355" s="10" t="n">
        <v>93829.07</v>
      </c>
      <c r="N355" s="7" t="s">
        <v>131</v>
      </c>
      <c r="O355" s="7"/>
      <c r="P355" s="8" t="n">
        <v>45836</v>
      </c>
      <c r="Q355" s="7" t="n">
        <v>6</v>
      </c>
      <c r="R355" s="8" t="n">
        <f aca="false">EDATE(P355,Q355)</f>
        <v>46019</v>
      </c>
    </row>
    <row r="356" customFormat="false" ht="15" hidden="false" customHeight="false" outlineLevel="0" collapsed="false">
      <c r="A356" s="7" t="s">
        <v>811</v>
      </c>
      <c r="B356" s="7" t="s">
        <v>463</v>
      </c>
      <c r="C356" s="7" t="s">
        <v>464</v>
      </c>
      <c r="D356" s="7" t="s">
        <v>151</v>
      </c>
      <c r="E356" s="7" t="s">
        <v>115</v>
      </c>
      <c r="F356" s="7" t="s">
        <v>95</v>
      </c>
      <c r="G356" s="7" t="s">
        <v>117</v>
      </c>
      <c r="H356" s="7" t="s">
        <v>305</v>
      </c>
      <c r="I356" s="7" t="s">
        <v>306</v>
      </c>
      <c r="J356" s="8" t="n">
        <v>45817</v>
      </c>
      <c r="K356" s="8" t="n">
        <v>45829</v>
      </c>
      <c r="L356" s="9" t="n">
        <f aca="false">K356-J356</f>
        <v>12</v>
      </c>
      <c r="M356" s="10" t="n">
        <v>33218.54</v>
      </c>
      <c r="N356" s="7" t="s">
        <v>99</v>
      </c>
      <c r="O356" s="7" t="s">
        <v>110</v>
      </c>
      <c r="P356" s="7"/>
      <c r="Q356" s="7"/>
      <c r="R356" s="7"/>
    </row>
    <row r="357" customFormat="false" ht="15" hidden="false" customHeight="false" outlineLevel="0" collapsed="false">
      <c r="A357" s="7" t="s">
        <v>812</v>
      </c>
      <c r="B357" s="7" t="s">
        <v>813</v>
      </c>
      <c r="C357" s="7" t="s">
        <v>814</v>
      </c>
      <c r="D357" s="7" t="s">
        <v>242</v>
      </c>
      <c r="E357" s="7" t="s">
        <v>105</v>
      </c>
      <c r="F357" s="7" t="s">
        <v>128</v>
      </c>
      <c r="G357" s="7" t="s">
        <v>184</v>
      </c>
      <c r="H357" s="7" t="s">
        <v>402</v>
      </c>
      <c r="I357" s="7" t="s">
        <v>403</v>
      </c>
      <c r="J357" s="8" t="n">
        <v>45758</v>
      </c>
      <c r="K357" s="8" t="n">
        <v>45830</v>
      </c>
      <c r="L357" s="9" t="n">
        <f aca="false">K357-J357</f>
        <v>72</v>
      </c>
      <c r="M357" s="10" t="n">
        <v>149773.12</v>
      </c>
      <c r="N357" s="7" t="s">
        <v>131</v>
      </c>
      <c r="O357" s="7"/>
      <c r="P357" s="8" t="n">
        <v>45849</v>
      </c>
      <c r="Q357" s="7" t="n">
        <v>1</v>
      </c>
      <c r="R357" s="8" t="n">
        <f aca="false">EDATE(P357,Q357)</f>
        <v>45880</v>
      </c>
    </row>
    <row r="358" customFormat="false" ht="15" hidden="false" customHeight="false" outlineLevel="0" collapsed="false">
      <c r="A358" s="7" t="s">
        <v>815</v>
      </c>
      <c r="B358" s="7" t="s">
        <v>318</v>
      </c>
      <c r="C358" s="7" t="s">
        <v>319</v>
      </c>
      <c r="D358" s="7" t="s">
        <v>114</v>
      </c>
      <c r="E358" s="7" t="s">
        <v>94</v>
      </c>
      <c r="F358" s="7" t="s">
        <v>157</v>
      </c>
      <c r="G358" s="7" t="s">
        <v>184</v>
      </c>
      <c r="H358" s="7" t="s">
        <v>177</v>
      </c>
      <c r="I358" s="7" t="s">
        <v>178</v>
      </c>
      <c r="J358" s="8" t="n">
        <v>45703</v>
      </c>
      <c r="K358" s="8" t="n">
        <v>45830</v>
      </c>
      <c r="L358" s="9" t="n">
        <f aca="false">K358-J358</f>
        <v>127</v>
      </c>
      <c r="M358" s="10" t="n">
        <v>220355.49</v>
      </c>
      <c r="N358" s="7" t="s">
        <v>99</v>
      </c>
      <c r="O358" s="7" t="s">
        <v>124</v>
      </c>
      <c r="P358" s="7"/>
      <c r="Q358" s="7"/>
      <c r="R358" s="7"/>
    </row>
    <row r="359" customFormat="false" ht="15" hidden="false" customHeight="false" outlineLevel="0" collapsed="false">
      <c r="A359" s="7" t="s">
        <v>816</v>
      </c>
      <c r="B359" s="7" t="s">
        <v>817</v>
      </c>
      <c r="C359" s="7" t="s">
        <v>818</v>
      </c>
      <c r="D359" s="7" t="s">
        <v>93</v>
      </c>
      <c r="E359" s="7" t="s">
        <v>105</v>
      </c>
      <c r="F359" s="7" t="s">
        <v>128</v>
      </c>
      <c r="G359" s="7" t="s">
        <v>144</v>
      </c>
      <c r="H359" s="7" t="s">
        <v>177</v>
      </c>
      <c r="I359" s="7" t="s">
        <v>178</v>
      </c>
      <c r="J359" s="8" t="n">
        <v>45777</v>
      </c>
      <c r="K359" s="8" t="n">
        <v>45832</v>
      </c>
      <c r="L359" s="9" t="n">
        <f aca="false">K359-J359</f>
        <v>55</v>
      </c>
      <c r="M359" s="10" t="n">
        <v>23403.14</v>
      </c>
      <c r="N359" s="7" t="s">
        <v>99</v>
      </c>
      <c r="O359" s="7" t="s">
        <v>100</v>
      </c>
      <c r="P359" s="7"/>
      <c r="Q359" s="7"/>
      <c r="R359" s="7"/>
    </row>
    <row r="360" customFormat="false" ht="15" hidden="false" customHeight="false" outlineLevel="0" collapsed="false">
      <c r="A360" s="7" t="s">
        <v>819</v>
      </c>
      <c r="B360" s="7" t="s">
        <v>303</v>
      </c>
      <c r="C360" s="7" t="s">
        <v>304</v>
      </c>
      <c r="D360" s="7" t="s">
        <v>93</v>
      </c>
      <c r="E360" s="7" t="s">
        <v>115</v>
      </c>
      <c r="F360" s="7" t="s">
        <v>183</v>
      </c>
      <c r="G360" s="7" t="s">
        <v>107</v>
      </c>
      <c r="H360" s="7" t="s">
        <v>97</v>
      </c>
      <c r="I360" s="7" t="s">
        <v>98</v>
      </c>
      <c r="J360" s="8" t="n">
        <v>45779</v>
      </c>
      <c r="K360" s="8" t="n">
        <v>45833</v>
      </c>
      <c r="L360" s="9" t="n">
        <f aca="false">K360-J360</f>
        <v>54</v>
      </c>
      <c r="M360" s="10" t="n">
        <v>98771.46</v>
      </c>
      <c r="N360" s="7" t="s">
        <v>99</v>
      </c>
      <c r="O360" s="7" t="s">
        <v>147</v>
      </c>
      <c r="P360" s="7"/>
      <c r="Q360" s="7"/>
      <c r="R360" s="7"/>
    </row>
    <row r="361" customFormat="false" ht="15" hidden="false" customHeight="false" outlineLevel="0" collapsed="false">
      <c r="A361" s="7" t="s">
        <v>820</v>
      </c>
      <c r="B361" s="7" t="s">
        <v>821</v>
      </c>
      <c r="C361" s="7" t="s">
        <v>822</v>
      </c>
      <c r="D361" s="7" t="s">
        <v>201</v>
      </c>
      <c r="E361" s="7" t="s">
        <v>105</v>
      </c>
      <c r="F361" s="7" t="s">
        <v>183</v>
      </c>
      <c r="G361" s="7" t="s">
        <v>117</v>
      </c>
      <c r="H361" s="7" t="s">
        <v>278</v>
      </c>
      <c r="I361" s="7" t="s">
        <v>279</v>
      </c>
      <c r="J361" s="8" t="n">
        <v>45751</v>
      </c>
      <c r="K361" s="8" t="n">
        <v>45833</v>
      </c>
      <c r="L361" s="9" t="n">
        <f aca="false">K361-J361</f>
        <v>82</v>
      </c>
      <c r="M361" s="10" t="n">
        <v>191763.16</v>
      </c>
      <c r="N361" s="7" t="s">
        <v>131</v>
      </c>
      <c r="O361" s="7"/>
      <c r="P361" s="8" t="n">
        <v>45836</v>
      </c>
      <c r="Q361" s="7" t="n">
        <v>3</v>
      </c>
      <c r="R361" s="8" t="n">
        <f aca="false">EDATE(P361,Q361)</f>
        <v>45928</v>
      </c>
    </row>
    <row r="362" customFormat="false" ht="15" hidden="false" customHeight="false" outlineLevel="0" collapsed="false">
      <c r="A362" s="7" t="s">
        <v>823</v>
      </c>
      <c r="B362" s="7" t="s">
        <v>337</v>
      </c>
      <c r="C362" s="7" t="s">
        <v>338</v>
      </c>
      <c r="D362" s="7" t="s">
        <v>201</v>
      </c>
      <c r="E362" s="7" t="s">
        <v>94</v>
      </c>
      <c r="F362" s="7" t="s">
        <v>128</v>
      </c>
      <c r="G362" s="7" t="s">
        <v>176</v>
      </c>
      <c r="H362" s="7" t="s">
        <v>177</v>
      </c>
      <c r="I362" s="7" t="s">
        <v>178</v>
      </c>
      <c r="J362" s="8" t="n">
        <v>45786</v>
      </c>
      <c r="K362" s="8" t="n">
        <v>45834</v>
      </c>
      <c r="L362" s="9" t="n">
        <f aca="false">K362-J362</f>
        <v>48</v>
      </c>
      <c r="M362" s="10" t="n">
        <v>37510.68</v>
      </c>
      <c r="N362" s="7" t="s">
        <v>99</v>
      </c>
      <c r="O362" s="7" t="s">
        <v>118</v>
      </c>
      <c r="P362" s="7"/>
      <c r="Q362" s="7"/>
      <c r="R362" s="7"/>
    </row>
    <row r="363" customFormat="false" ht="15" hidden="false" customHeight="false" outlineLevel="0" collapsed="false">
      <c r="A363" s="7" t="s">
        <v>824</v>
      </c>
      <c r="B363" s="7" t="s">
        <v>160</v>
      </c>
      <c r="C363" s="7" t="s">
        <v>161</v>
      </c>
      <c r="D363" s="7" t="s">
        <v>151</v>
      </c>
      <c r="E363" s="7" t="s">
        <v>162</v>
      </c>
      <c r="F363" s="7" t="s">
        <v>157</v>
      </c>
      <c r="G363" s="7" t="s">
        <v>137</v>
      </c>
      <c r="H363" s="7" t="s">
        <v>213</v>
      </c>
      <c r="I363" s="7" t="s">
        <v>214</v>
      </c>
      <c r="J363" s="8" t="n">
        <v>45751</v>
      </c>
      <c r="K363" s="8" t="n">
        <v>45835</v>
      </c>
      <c r="L363" s="9" t="n">
        <f aca="false">K363-J363</f>
        <v>84</v>
      </c>
      <c r="M363" s="10" t="n">
        <v>60366</v>
      </c>
      <c r="N363" s="7" t="s">
        <v>131</v>
      </c>
      <c r="O363" s="7"/>
      <c r="P363" s="8" t="n">
        <v>45855</v>
      </c>
      <c r="Q363" s="7" t="n">
        <v>5</v>
      </c>
      <c r="R363" s="8" t="n">
        <f aca="false">EDATE(P363,Q363)</f>
        <v>46008</v>
      </c>
    </row>
    <row r="364" customFormat="false" ht="15" hidden="false" customHeight="false" outlineLevel="0" collapsed="false">
      <c r="A364" s="7" t="s">
        <v>825</v>
      </c>
      <c r="B364" s="7" t="s">
        <v>457</v>
      </c>
      <c r="C364" s="7" t="s">
        <v>458</v>
      </c>
      <c r="D364" s="7" t="s">
        <v>242</v>
      </c>
      <c r="E364" s="7" t="s">
        <v>94</v>
      </c>
      <c r="F364" s="7" t="s">
        <v>95</v>
      </c>
      <c r="G364" s="7" t="s">
        <v>184</v>
      </c>
      <c r="H364" s="7" t="s">
        <v>213</v>
      </c>
      <c r="I364" s="7" t="s">
        <v>214</v>
      </c>
      <c r="J364" s="8" t="n">
        <v>45779</v>
      </c>
      <c r="K364" s="8" t="n">
        <v>45836</v>
      </c>
      <c r="L364" s="9" t="n">
        <f aca="false">K364-J364</f>
        <v>57</v>
      </c>
      <c r="M364" s="10" t="n">
        <v>43172.63</v>
      </c>
      <c r="N364" s="7" t="s">
        <v>99</v>
      </c>
      <c r="O364" s="7" t="s">
        <v>147</v>
      </c>
      <c r="P364" s="7"/>
      <c r="Q364" s="7"/>
      <c r="R364" s="7"/>
    </row>
    <row r="365" customFormat="false" ht="15" hidden="false" customHeight="false" outlineLevel="0" collapsed="false">
      <c r="A365" s="7" t="s">
        <v>826</v>
      </c>
      <c r="B365" s="7" t="s">
        <v>827</v>
      </c>
      <c r="C365" s="7" t="s">
        <v>828</v>
      </c>
      <c r="D365" s="7" t="s">
        <v>104</v>
      </c>
      <c r="E365" s="7" t="s">
        <v>105</v>
      </c>
      <c r="F365" s="7" t="s">
        <v>106</v>
      </c>
      <c r="G365" s="7" t="s">
        <v>184</v>
      </c>
      <c r="H365" s="7" t="s">
        <v>129</v>
      </c>
      <c r="I365" s="7" t="s">
        <v>130</v>
      </c>
      <c r="J365" s="8" t="n">
        <v>45764</v>
      </c>
      <c r="K365" s="8" t="n">
        <v>45836</v>
      </c>
      <c r="L365" s="9" t="n">
        <f aca="false">K365-J365</f>
        <v>72</v>
      </c>
      <c r="M365" s="10" t="n">
        <v>47143.66</v>
      </c>
      <c r="N365" s="7" t="s">
        <v>131</v>
      </c>
      <c r="O365" s="7"/>
      <c r="P365" s="8" t="n">
        <v>45848</v>
      </c>
      <c r="Q365" s="7" t="n">
        <v>5</v>
      </c>
      <c r="R365" s="8" t="n">
        <f aca="false">EDATE(P365,Q365)</f>
        <v>46001</v>
      </c>
    </row>
    <row r="366" customFormat="false" ht="15" hidden="false" customHeight="false" outlineLevel="0" collapsed="false">
      <c r="A366" s="7" t="s">
        <v>829</v>
      </c>
      <c r="B366" s="7" t="s">
        <v>821</v>
      </c>
      <c r="C366" s="7" t="s">
        <v>822</v>
      </c>
      <c r="D366" s="7" t="s">
        <v>201</v>
      </c>
      <c r="E366" s="7" t="s">
        <v>105</v>
      </c>
      <c r="F366" s="7" t="s">
        <v>106</v>
      </c>
      <c r="G366" s="7" t="s">
        <v>176</v>
      </c>
      <c r="H366" s="7" t="s">
        <v>177</v>
      </c>
      <c r="I366" s="7" t="s">
        <v>178</v>
      </c>
      <c r="J366" s="8" t="n">
        <v>45749</v>
      </c>
      <c r="K366" s="8" t="n">
        <v>45836</v>
      </c>
      <c r="L366" s="9" t="n">
        <f aca="false">K366-J366</f>
        <v>87</v>
      </c>
      <c r="M366" s="10" t="n">
        <v>166184.43</v>
      </c>
      <c r="N366" s="7" t="s">
        <v>99</v>
      </c>
      <c r="O366" s="7" t="s">
        <v>124</v>
      </c>
      <c r="P366" s="7"/>
      <c r="Q366" s="7"/>
      <c r="R366" s="7"/>
    </row>
    <row r="367" customFormat="false" ht="15" hidden="false" customHeight="false" outlineLevel="0" collapsed="false">
      <c r="A367" s="7" t="s">
        <v>830</v>
      </c>
      <c r="B367" s="7" t="s">
        <v>321</v>
      </c>
      <c r="C367" s="7" t="s">
        <v>322</v>
      </c>
      <c r="D367" s="7" t="s">
        <v>201</v>
      </c>
      <c r="E367" s="7" t="s">
        <v>94</v>
      </c>
      <c r="F367" s="7" t="s">
        <v>183</v>
      </c>
      <c r="G367" s="7" t="s">
        <v>184</v>
      </c>
      <c r="H367" s="7" t="s">
        <v>129</v>
      </c>
      <c r="I367" s="7" t="s">
        <v>130</v>
      </c>
      <c r="J367" s="8" t="n">
        <v>45742</v>
      </c>
      <c r="K367" s="8" t="n">
        <v>45837</v>
      </c>
      <c r="L367" s="9" t="n">
        <f aca="false">K367-J367</f>
        <v>95</v>
      </c>
      <c r="M367" s="10" t="n">
        <v>252866.58</v>
      </c>
      <c r="N367" s="7" t="s">
        <v>99</v>
      </c>
      <c r="O367" s="7" t="s">
        <v>118</v>
      </c>
      <c r="P367" s="7"/>
      <c r="Q367" s="7"/>
      <c r="R367" s="7"/>
    </row>
    <row r="368" customFormat="false" ht="15" hidden="false" customHeight="false" outlineLevel="0" collapsed="false">
      <c r="A368" s="7" t="s">
        <v>831</v>
      </c>
      <c r="B368" s="7" t="s">
        <v>253</v>
      </c>
      <c r="C368" s="7" t="s">
        <v>254</v>
      </c>
      <c r="D368" s="7" t="s">
        <v>242</v>
      </c>
      <c r="E368" s="7" t="s">
        <v>105</v>
      </c>
      <c r="F368" s="7" t="s">
        <v>106</v>
      </c>
      <c r="G368" s="7" t="s">
        <v>107</v>
      </c>
      <c r="H368" s="7" t="s">
        <v>97</v>
      </c>
      <c r="I368" s="7" t="s">
        <v>98</v>
      </c>
      <c r="J368" s="8" t="n">
        <v>45737</v>
      </c>
      <c r="K368" s="8" t="n">
        <v>45838</v>
      </c>
      <c r="L368" s="9" t="n">
        <f aca="false">K368-J368</f>
        <v>101</v>
      </c>
      <c r="M368" s="10" t="n">
        <v>175628.93</v>
      </c>
      <c r="N368" s="7" t="s">
        <v>131</v>
      </c>
      <c r="O368" s="7"/>
      <c r="P368" s="8" t="n">
        <v>45861</v>
      </c>
      <c r="Q368" s="7" t="n">
        <v>2</v>
      </c>
      <c r="R368" s="8" t="n">
        <f aca="false">EDATE(P368,Q368)</f>
        <v>45923</v>
      </c>
    </row>
    <row r="369" customFormat="false" ht="15" hidden="false" customHeight="false" outlineLevel="0" collapsed="false">
      <c r="A369" s="7" t="s">
        <v>832</v>
      </c>
      <c r="B369" s="7" t="s">
        <v>237</v>
      </c>
      <c r="C369" s="7" t="s">
        <v>238</v>
      </c>
      <c r="D369" s="7" t="s">
        <v>195</v>
      </c>
      <c r="E369" s="7" t="s">
        <v>94</v>
      </c>
      <c r="F369" s="7" t="s">
        <v>95</v>
      </c>
      <c r="G369" s="7" t="s">
        <v>176</v>
      </c>
      <c r="H369" s="7" t="s">
        <v>190</v>
      </c>
      <c r="I369" s="7" t="s">
        <v>191</v>
      </c>
      <c r="J369" s="8" t="n">
        <v>45802</v>
      </c>
      <c r="K369" s="8" t="n">
        <v>45840</v>
      </c>
      <c r="L369" s="9" t="n">
        <f aca="false">K369-J369</f>
        <v>38</v>
      </c>
      <c r="M369" s="10" t="n">
        <v>51943.79</v>
      </c>
      <c r="N369" s="7" t="s">
        <v>131</v>
      </c>
      <c r="O369" s="7"/>
      <c r="P369" s="8" t="n">
        <v>45849</v>
      </c>
      <c r="Q369" s="7" t="n">
        <v>4</v>
      </c>
      <c r="R369" s="8" t="n">
        <f aca="false">EDATE(P369,Q369)</f>
        <v>45972</v>
      </c>
    </row>
    <row r="370" customFormat="false" ht="15" hidden="false" customHeight="false" outlineLevel="0" collapsed="false">
      <c r="A370" s="7" t="s">
        <v>833</v>
      </c>
      <c r="B370" s="7" t="s">
        <v>834</v>
      </c>
      <c r="C370" s="7" t="s">
        <v>835</v>
      </c>
      <c r="D370" s="7" t="s">
        <v>93</v>
      </c>
      <c r="E370" s="7" t="s">
        <v>162</v>
      </c>
      <c r="F370" s="7" t="s">
        <v>136</v>
      </c>
      <c r="G370" s="7" t="s">
        <v>184</v>
      </c>
      <c r="H370" s="7" t="s">
        <v>278</v>
      </c>
      <c r="I370" s="7" t="s">
        <v>279</v>
      </c>
      <c r="J370" s="8" t="n">
        <v>45755</v>
      </c>
      <c r="K370" s="8" t="n">
        <v>45845</v>
      </c>
      <c r="L370" s="9" t="n">
        <f aca="false">K370-J370</f>
        <v>90</v>
      </c>
      <c r="M370" s="10" t="n">
        <v>109304.19</v>
      </c>
      <c r="N370" s="7" t="s">
        <v>99</v>
      </c>
      <c r="O370" s="7" t="s">
        <v>118</v>
      </c>
      <c r="P370" s="7"/>
      <c r="Q370" s="7"/>
      <c r="R370" s="7"/>
    </row>
    <row r="371" customFormat="false" ht="15" hidden="false" customHeight="false" outlineLevel="0" collapsed="false">
      <c r="A371" s="7" t="s">
        <v>836</v>
      </c>
      <c r="B371" s="7" t="s">
        <v>164</v>
      </c>
      <c r="C371" s="7" t="s">
        <v>165</v>
      </c>
      <c r="D371" s="7" t="s">
        <v>151</v>
      </c>
      <c r="E371" s="7" t="s">
        <v>94</v>
      </c>
      <c r="F371" s="7" t="s">
        <v>116</v>
      </c>
      <c r="G371" s="7" t="s">
        <v>137</v>
      </c>
      <c r="H371" s="7" t="s">
        <v>138</v>
      </c>
      <c r="I371" s="7" t="s">
        <v>139</v>
      </c>
      <c r="J371" s="8" t="n">
        <v>45702</v>
      </c>
      <c r="K371" s="8" t="n">
        <v>45847</v>
      </c>
      <c r="L371" s="9" t="n">
        <f aca="false">K371-J371</f>
        <v>145</v>
      </c>
      <c r="M371" s="10" t="n">
        <v>383969.76</v>
      </c>
      <c r="N371" s="7" t="s">
        <v>99</v>
      </c>
      <c r="O371" s="7" t="s">
        <v>124</v>
      </c>
      <c r="P371" s="7"/>
      <c r="Q371" s="7"/>
      <c r="R371" s="7"/>
    </row>
    <row r="372" customFormat="false" ht="15" hidden="false" customHeight="false" outlineLevel="0" collapsed="false">
      <c r="A372" s="7" t="s">
        <v>837</v>
      </c>
      <c r="B372" s="7" t="s">
        <v>315</v>
      </c>
      <c r="C372" s="7" t="s">
        <v>316</v>
      </c>
      <c r="D372" s="7" t="s">
        <v>195</v>
      </c>
      <c r="E372" s="7" t="s">
        <v>162</v>
      </c>
      <c r="F372" s="7" t="s">
        <v>116</v>
      </c>
      <c r="G372" s="7" t="s">
        <v>107</v>
      </c>
      <c r="H372" s="7" t="s">
        <v>108</v>
      </c>
      <c r="I372" s="7" t="s">
        <v>109</v>
      </c>
      <c r="J372" s="8" t="n">
        <v>45780</v>
      </c>
      <c r="K372" s="8" t="n">
        <v>45849</v>
      </c>
      <c r="L372" s="9" t="n">
        <f aca="false">K372-J372</f>
        <v>69</v>
      </c>
      <c r="M372" s="10" t="n">
        <v>86302.98</v>
      </c>
      <c r="N372" s="7" t="s">
        <v>99</v>
      </c>
      <c r="O372" s="7" t="s">
        <v>147</v>
      </c>
      <c r="P372" s="7"/>
      <c r="Q372" s="7"/>
      <c r="R372" s="7"/>
    </row>
    <row r="373" customFormat="false" ht="15" hidden="false" customHeight="false" outlineLevel="0" collapsed="false">
      <c r="A373" s="7" t="s">
        <v>838</v>
      </c>
      <c r="B373" s="7" t="s">
        <v>427</v>
      </c>
      <c r="C373" s="7" t="s">
        <v>428</v>
      </c>
      <c r="D373" s="7" t="s">
        <v>151</v>
      </c>
      <c r="E373" s="7" t="s">
        <v>94</v>
      </c>
      <c r="F373" s="7" t="s">
        <v>116</v>
      </c>
      <c r="G373" s="7" t="s">
        <v>176</v>
      </c>
      <c r="H373" s="7" t="s">
        <v>402</v>
      </c>
      <c r="I373" s="7" t="s">
        <v>403</v>
      </c>
      <c r="J373" s="8" t="n">
        <v>45785</v>
      </c>
      <c r="K373" s="8" t="n">
        <v>45850</v>
      </c>
      <c r="L373" s="9" t="n">
        <f aca="false">K373-J373</f>
        <v>65</v>
      </c>
      <c r="M373" s="10" t="n">
        <v>155129.38</v>
      </c>
      <c r="N373" s="7" t="s">
        <v>99</v>
      </c>
      <c r="O373" s="7" t="s">
        <v>100</v>
      </c>
      <c r="P373" s="7"/>
      <c r="Q373" s="7"/>
      <c r="R373" s="7"/>
    </row>
    <row r="374" customFormat="false" ht="15" hidden="false" customHeight="false" outlineLevel="0" collapsed="false">
      <c r="A374" s="7" t="s">
        <v>839</v>
      </c>
      <c r="B374" s="7" t="s">
        <v>840</v>
      </c>
      <c r="C374" s="7" t="s">
        <v>841</v>
      </c>
      <c r="D374" s="7" t="s">
        <v>201</v>
      </c>
      <c r="E374" s="7" t="s">
        <v>115</v>
      </c>
      <c r="F374" s="7" t="s">
        <v>95</v>
      </c>
      <c r="G374" s="7" t="s">
        <v>137</v>
      </c>
      <c r="H374" s="7" t="s">
        <v>180</v>
      </c>
      <c r="I374" s="7" t="s">
        <v>181</v>
      </c>
      <c r="J374" s="8" t="n">
        <v>45755</v>
      </c>
      <c r="K374" s="8" t="n">
        <v>45851</v>
      </c>
      <c r="L374" s="9" t="n">
        <f aca="false">K374-J374</f>
        <v>96</v>
      </c>
      <c r="M374" s="10" t="n">
        <v>249334.1</v>
      </c>
      <c r="N374" s="7" t="s">
        <v>99</v>
      </c>
      <c r="O374" s="7" t="s">
        <v>110</v>
      </c>
      <c r="P374" s="7"/>
      <c r="Q374" s="7"/>
      <c r="R374" s="7"/>
    </row>
    <row r="375" customFormat="false" ht="15" hidden="false" customHeight="false" outlineLevel="0" collapsed="false">
      <c r="A375" s="7" t="s">
        <v>842</v>
      </c>
      <c r="B375" s="7" t="s">
        <v>160</v>
      </c>
      <c r="C375" s="7" t="s">
        <v>161</v>
      </c>
      <c r="D375" s="7" t="s">
        <v>151</v>
      </c>
      <c r="E375" s="7" t="s">
        <v>162</v>
      </c>
      <c r="F375" s="7" t="s">
        <v>106</v>
      </c>
      <c r="G375" s="7" t="s">
        <v>96</v>
      </c>
      <c r="H375" s="7" t="s">
        <v>152</v>
      </c>
      <c r="I375" s="7" t="s">
        <v>153</v>
      </c>
      <c r="J375" s="8" t="n">
        <v>45774</v>
      </c>
      <c r="K375" s="8" t="n">
        <v>45851</v>
      </c>
      <c r="L375" s="9" t="n">
        <f aca="false">K375-J375</f>
        <v>77</v>
      </c>
      <c r="M375" s="10" t="n">
        <v>53996.87</v>
      </c>
      <c r="N375" s="7" t="s">
        <v>131</v>
      </c>
      <c r="O375" s="7"/>
      <c r="P375" s="8" t="n">
        <v>45856</v>
      </c>
      <c r="Q375" s="7" t="n">
        <v>3</v>
      </c>
      <c r="R375" s="8" t="n">
        <f aca="false">EDATE(P375,Q375)</f>
        <v>45948</v>
      </c>
    </row>
    <row r="376" customFormat="false" ht="15" hidden="false" customHeight="false" outlineLevel="0" collapsed="false">
      <c r="A376" s="7" t="s">
        <v>843</v>
      </c>
      <c r="B376" s="7" t="s">
        <v>284</v>
      </c>
      <c r="C376" s="7" t="s">
        <v>285</v>
      </c>
      <c r="D376" s="7" t="s">
        <v>201</v>
      </c>
      <c r="E376" s="7" t="s">
        <v>105</v>
      </c>
      <c r="F376" s="7" t="s">
        <v>183</v>
      </c>
      <c r="G376" s="7" t="s">
        <v>137</v>
      </c>
      <c r="H376" s="7" t="s">
        <v>190</v>
      </c>
      <c r="I376" s="7" t="s">
        <v>191</v>
      </c>
      <c r="J376" s="8" t="n">
        <v>45757</v>
      </c>
      <c r="K376" s="8" t="n">
        <v>45854</v>
      </c>
      <c r="L376" s="9" t="n">
        <f aca="false">K376-J376</f>
        <v>97</v>
      </c>
      <c r="M376" s="10" t="n">
        <v>97197.19</v>
      </c>
      <c r="N376" s="7" t="s">
        <v>99</v>
      </c>
      <c r="O376" s="7" t="s">
        <v>147</v>
      </c>
      <c r="P376" s="7"/>
      <c r="Q376" s="7"/>
      <c r="R376" s="7"/>
    </row>
    <row r="377" customFormat="false" ht="15" hidden="false" customHeight="false" outlineLevel="0" collapsed="false">
      <c r="A377" s="7" t="s">
        <v>844</v>
      </c>
      <c r="B377" s="7" t="s">
        <v>845</v>
      </c>
      <c r="C377" s="7" t="s">
        <v>846</v>
      </c>
      <c r="D377" s="7" t="s">
        <v>93</v>
      </c>
      <c r="E377" s="7" t="s">
        <v>162</v>
      </c>
      <c r="F377" s="7" t="s">
        <v>143</v>
      </c>
      <c r="G377" s="7" t="s">
        <v>176</v>
      </c>
      <c r="H377" s="7" t="s">
        <v>270</v>
      </c>
      <c r="I377" s="7" t="s">
        <v>271</v>
      </c>
      <c r="J377" s="8" t="n">
        <v>45777</v>
      </c>
      <c r="K377" s="8" t="n">
        <v>45854</v>
      </c>
      <c r="L377" s="9" t="n">
        <f aca="false">K377-J377</f>
        <v>77</v>
      </c>
      <c r="M377" s="10" t="n">
        <v>137636.82</v>
      </c>
      <c r="N377" s="7" t="s">
        <v>99</v>
      </c>
      <c r="O377" s="7" t="s">
        <v>100</v>
      </c>
      <c r="P377" s="7"/>
      <c r="Q377" s="7"/>
      <c r="R377" s="7"/>
    </row>
    <row r="378" customFormat="false" ht="15" hidden="false" customHeight="false" outlineLevel="0" collapsed="false">
      <c r="A378" s="7" t="s">
        <v>847</v>
      </c>
      <c r="B378" s="7" t="s">
        <v>120</v>
      </c>
      <c r="C378" s="7" t="s">
        <v>121</v>
      </c>
      <c r="D378" s="7" t="s">
        <v>104</v>
      </c>
      <c r="E378" s="7" t="s">
        <v>105</v>
      </c>
      <c r="F378" s="7" t="s">
        <v>136</v>
      </c>
      <c r="G378" s="7" t="s">
        <v>137</v>
      </c>
      <c r="H378" s="7" t="s">
        <v>185</v>
      </c>
      <c r="I378" s="7" t="s">
        <v>186</v>
      </c>
      <c r="J378" s="8" t="n">
        <v>45784</v>
      </c>
      <c r="K378" s="8" t="n">
        <v>45855</v>
      </c>
      <c r="L378" s="9" t="n">
        <f aca="false">K378-J378</f>
        <v>71</v>
      </c>
      <c r="M378" s="10" t="n">
        <v>203071.19</v>
      </c>
      <c r="N378" s="7" t="s">
        <v>99</v>
      </c>
      <c r="O378" s="7" t="s">
        <v>124</v>
      </c>
      <c r="P378" s="7"/>
      <c r="Q378" s="7"/>
      <c r="R378" s="7"/>
    </row>
    <row r="379" customFormat="false" ht="15" hidden="false" customHeight="false" outlineLevel="0" collapsed="false">
      <c r="A379" s="7" t="s">
        <v>848</v>
      </c>
      <c r="B379" s="7" t="s">
        <v>724</v>
      </c>
      <c r="C379" s="7" t="s">
        <v>725</v>
      </c>
      <c r="D379" s="7" t="s">
        <v>195</v>
      </c>
      <c r="E379" s="7" t="s">
        <v>115</v>
      </c>
      <c r="F379" s="7" t="s">
        <v>136</v>
      </c>
      <c r="G379" s="7" t="s">
        <v>117</v>
      </c>
      <c r="H379" s="7" t="s">
        <v>129</v>
      </c>
      <c r="I379" s="7" t="s">
        <v>130</v>
      </c>
      <c r="J379" s="8" t="n">
        <v>45801</v>
      </c>
      <c r="K379" s="8" t="n">
        <v>45855</v>
      </c>
      <c r="L379" s="9" t="n">
        <f aca="false">K379-J379</f>
        <v>54</v>
      </c>
      <c r="M379" s="10" t="n">
        <v>65770.67</v>
      </c>
      <c r="N379" s="7" t="s">
        <v>131</v>
      </c>
      <c r="O379" s="7"/>
      <c r="P379" s="8" t="n">
        <v>45876</v>
      </c>
      <c r="Q379" s="7" t="n">
        <v>4</v>
      </c>
      <c r="R379" s="8" t="n">
        <f aca="false">EDATE(P379,Q379)</f>
        <v>45998</v>
      </c>
    </row>
    <row r="380" customFormat="false" ht="15" hidden="false" customHeight="false" outlineLevel="0" collapsed="false">
      <c r="A380" s="7" t="s">
        <v>849</v>
      </c>
      <c r="B380" s="7" t="s">
        <v>850</v>
      </c>
      <c r="C380" s="7" t="s">
        <v>851</v>
      </c>
      <c r="D380" s="7" t="s">
        <v>104</v>
      </c>
      <c r="E380" s="7" t="s">
        <v>162</v>
      </c>
      <c r="F380" s="7" t="s">
        <v>95</v>
      </c>
      <c r="G380" s="7" t="s">
        <v>107</v>
      </c>
      <c r="H380" s="7" t="s">
        <v>190</v>
      </c>
      <c r="I380" s="7" t="s">
        <v>191</v>
      </c>
      <c r="J380" s="8" t="n">
        <v>45769</v>
      </c>
      <c r="K380" s="8" t="n">
        <v>45856</v>
      </c>
      <c r="L380" s="9" t="n">
        <f aca="false">K380-J380</f>
        <v>87</v>
      </c>
      <c r="M380" s="10" t="n">
        <v>45158.59</v>
      </c>
      <c r="N380" s="7" t="s">
        <v>99</v>
      </c>
      <c r="O380" s="7" t="s">
        <v>118</v>
      </c>
      <c r="P380" s="7"/>
      <c r="Q380" s="7"/>
      <c r="R380" s="7"/>
    </row>
    <row r="381" customFormat="false" ht="15" hidden="false" customHeight="false" outlineLevel="0" collapsed="false">
      <c r="A381" s="7" t="s">
        <v>852</v>
      </c>
      <c r="B381" s="7" t="s">
        <v>250</v>
      </c>
      <c r="C381" s="7" t="s">
        <v>251</v>
      </c>
      <c r="D381" s="7" t="s">
        <v>195</v>
      </c>
      <c r="E381" s="7" t="s">
        <v>105</v>
      </c>
      <c r="F381" s="7" t="s">
        <v>136</v>
      </c>
      <c r="G381" s="7" t="s">
        <v>176</v>
      </c>
      <c r="H381" s="7" t="s">
        <v>205</v>
      </c>
      <c r="I381" s="7" t="s">
        <v>206</v>
      </c>
      <c r="J381" s="8" t="n">
        <v>45782</v>
      </c>
      <c r="K381" s="8" t="n">
        <v>45856</v>
      </c>
      <c r="L381" s="9" t="n">
        <f aca="false">K381-J381</f>
        <v>74</v>
      </c>
      <c r="M381" s="10" t="n">
        <v>212197.81</v>
      </c>
      <c r="N381" s="7" t="s">
        <v>99</v>
      </c>
      <c r="O381" s="7" t="s">
        <v>219</v>
      </c>
      <c r="P381" s="7"/>
      <c r="Q381" s="7"/>
      <c r="R381" s="7"/>
    </row>
    <row r="382" customFormat="false" ht="15" hidden="false" customHeight="false" outlineLevel="0" collapsed="false">
      <c r="A382" s="7" t="s">
        <v>853</v>
      </c>
      <c r="B382" s="7" t="s">
        <v>657</v>
      </c>
      <c r="C382" s="7" t="s">
        <v>658</v>
      </c>
      <c r="D382" s="7" t="s">
        <v>104</v>
      </c>
      <c r="E382" s="7" t="s">
        <v>94</v>
      </c>
      <c r="F382" s="7" t="s">
        <v>95</v>
      </c>
      <c r="G382" s="7" t="s">
        <v>107</v>
      </c>
      <c r="H382" s="7" t="s">
        <v>145</v>
      </c>
      <c r="I382" s="7" t="s">
        <v>146</v>
      </c>
      <c r="J382" s="8" t="n">
        <v>45769</v>
      </c>
      <c r="K382" s="8" t="n">
        <v>45857</v>
      </c>
      <c r="L382" s="9" t="n">
        <f aca="false">K382-J382</f>
        <v>88</v>
      </c>
      <c r="M382" s="10" t="n">
        <v>103283.02</v>
      </c>
      <c r="N382" s="7" t="s">
        <v>131</v>
      </c>
      <c r="O382" s="7"/>
      <c r="P382" s="8" t="n">
        <v>45880</v>
      </c>
      <c r="Q382" s="7" t="n">
        <v>4</v>
      </c>
      <c r="R382" s="8" t="n">
        <f aca="false">EDATE(P382,Q382)</f>
        <v>46002</v>
      </c>
    </row>
    <row r="383" customFormat="false" ht="15" hidden="false" customHeight="false" outlineLevel="0" collapsed="false">
      <c r="A383" s="7" t="s">
        <v>854</v>
      </c>
      <c r="B383" s="7" t="s">
        <v>256</v>
      </c>
      <c r="C383" s="7" t="s">
        <v>257</v>
      </c>
      <c r="D383" s="7" t="s">
        <v>135</v>
      </c>
      <c r="E383" s="7" t="s">
        <v>162</v>
      </c>
      <c r="F383" s="7" t="s">
        <v>157</v>
      </c>
      <c r="G383" s="7" t="s">
        <v>117</v>
      </c>
      <c r="H383" s="7" t="s">
        <v>305</v>
      </c>
      <c r="I383" s="7" t="s">
        <v>306</v>
      </c>
      <c r="J383" s="8" t="n">
        <v>45829</v>
      </c>
      <c r="K383" s="8" t="n">
        <v>45857</v>
      </c>
      <c r="L383" s="9" t="n">
        <f aca="false">K383-J383</f>
        <v>28</v>
      </c>
      <c r="M383" s="10" t="n">
        <v>64602.14</v>
      </c>
      <c r="N383" s="7" t="s">
        <v>99</v>
      </c>
      <c r="O383" s="7" t="s">
        <v>118</v>
      </c>
      <c r="P383" s="7"/>
      <c r="Q383" s="7"/>
      <c r="R383" s="7"/>
    </row>
    <row r="384" customFormat="false" ht="15" hidden="false" customHeight="false" outlineLevel="0" collapsed="false">
      <c r="A384" s="7" t="s">
        <v>855</v>
      </c>
      <c r="B384" s="7" t="s">
        <v>287</v>
      </c>
      <c r="C384" s="7" t="s">
        <v>288</v>
      </c>
      <c r="D384" s="7" t="s">
        <v>151</v>
      </c>
      <c r="E384" s="7" t="s">
        <v>94</v>
      </c>
      <c r="F384" s="7" t="s">
        <v>95</v>
      </c>
      <c r="G384" s="7" t="s">
        <v>137</v>
      </c>
      <c r="H384" s="7" t="s">
        <v>145</v>
      </c>
      <c r="I384" s="7" t="s">
        <v>146</v>
      </c>
      <c r="J384" s="8" t="n">
        <v>45790</v>
      </c>
      <c r="K384" s="8" t="n">
        <v>45858</v>
      </c>
      <c r="L384" s="9" t="n">
        <f aca="false">K384-J384</f>
        <v>68</v>
      </c>
      <c r="M384" s="10" t="n">
        <v>69936.76</v>
      </c>
      <c r="N384" s="7" t="s">
        <v>99</v>
      </c>
      <c r="O384" s="7" t="s">
        <v>100</v>
      </c>
      <c r="P384" s="7"/>
      <c r="Q384" s="7"/>
      <c r="R384" s="7"/>
    </row>
    <row r="385" customFormat="false" ht="15" hidden="false" customHeight="false" outlineLevel="0" collapsed="false">
      <c r="A385" s="7" t="s">
        <v>856</v>
      </c>
      <c r="B385" s="7" t="s">
        <v>485</v>
      </c>
      <c r="C385" s="7" t="s">
        <v>486</v>
      </c>
      <c r="D385" s="7" t="s">
        <v>151</v>
      </c>
      <c r="E385" s="7" t="s">
        <v>94</v>
      </c>
      <c r="F385" s="7" t="s">
        <v>106</v>
      </c>
      <c r="G385" s="7" t="s">
        <v>176</v>
      </c>
      <c r="H385" s="7" t="s">
        <v>223</v>
      </c>
      <c r="I385" s="7" t="s">
        <v>224</v>
      </c>
      <c r="J385" s="8" t="n">
        <v>45761</v>
      </c>
      <c r="K385" s="8" t="n">
        <v>45858</v>
      </c>
      <c r="L385" s="9" t="n">
        <f aca="false">K385-J385</f>
        <v>97</v>
      </c>
      <c r="M385" s="10" t="n">
        <v>79227.92</v>
      </c>
      <c r="N385" s="7" t="s">
        <v>99</v>
      </c>
      <c r="O385" s="7" t="s">
        <v>118</v>
      </c>
      <c r="P385" s="7"/>
      <c r="Q385" s="7"/>
      <c r="R385" s="7"/>
    </row>
    <row r="386" customFormat="false" ht="15" hidden="false" customHeight="false" outlineLevel="0" collapsed="false">
      <c r="A386" s="7" t="s">
        <v>857</v>
      </c>
      <c r="B386" s="7" t="s">
        <v>577</v>
      </c>
      <c r="C386" s="7" t="s">
        <v>578</v>
      </c>
      <c r="D386" s="7" t="s">
        <v>201</v>
      </c>
      <c r="E386" s="7" t="s">
        <v>94</v>
      </c>
      <c r="F386" s="7" t="s">
        <v>136</v>
      </c>
      <c r="G386" s="7" t="s">
        <v>137</v>
      </c>
      <c r="H386" s="7" t="s">
        <v>270</v>
      </c>
      <c r="I386" s="7" t="s">
        <v>271</v>
      </c>
      <c r="J386" s="8" t="n">
        <v>45736</v>
      </c>
      <c r="K386" s="8" t="n">
        <v>45859</v>
      </c>
      <c r="L386" s="9" t="n">
        <f aca="false">K386-J386</f>
        <v>123</v>
      </c>
      <c r="M386" s="10" t="n">
        <v>203093.55</v>
      </c>
      <c r="N386" s="7" t="s">
        <v>99</v>
      </c>
      <c r="O386" s="7" t="s">
        <v>100</v>
      </c>
      <c r="P386" s="7"/>
      <c r="Q386" s="7"/>
      <c r="R386" s="7"/>
    </row>
    <row r="387" customFormat="false" ht="15" hidden="false" customHeight="false" outlineLevel="0" collapsed="false">
      <c r="A387" s="7" t="s">
        <v>858</v>
      </c>
      <c r="B387" s="7" t="s">
        <v>834</v>
      </c>
      <c r="C387" s="7" t="s">
        <v>835</v>
      </c>
      <c r="D387" s="7" t="s">
        <v>93</v>
      </c>
      <c r="E387" s="7" t="s">
        <v>162</v>
      </c>
      <c r="F387" s="7" t="s">
        <v>116</v>
      </c>
      <c r="G387" s="7" t="s">
        <v>176</v>
      </c>
      <c r="H387" s="7" t="s">
        <v>97</v>
      </c>
      <c r="I387" s="7" t="s">
        <v>98</v>
      </c>
      <c r="J387" s="8" t="n">
        <v>45824</v>
      </c>
      <c r="K387" s="8" t="n">
        <v>45860</v>
      </c>
      <c r="L387" s="9" t="n">
        <f aca="false">K387-J387</f>
        <v>36</v>
      </c>
      <c r="M387" s="10" t="n">
        <v>201608.02</v>
      </c>
      <c r="N387" s="7" t="s">
        <v>99</v>
      </c>
      <c r="O387" s="7" t="s">
        <v>124</v>
      </c>
      <c r="P387" s="7"/>
      <c r="Q387" s="7"/>
      <c r="R387" s="7"/>
    </row>
    <row r="388" customFormat="false" ht="15" hidden="false" customHeight="false" outlineLevel="0" collapsed="false">
      <c r="A388" s="7" t="s">
        <v>859</v>
      </c>
      <c r="B388" s="7" t="s">
        <v>517</v>
      </c>
      <c r="C388" s="7" t="s">
        <v>518</v>
      </c>
      <c r="D388" s="7" t="s">
        <v>151</v>
      </c>
      <c r="E388" s="7" t="s">
        <v>115</v>
      </c>
      <c r="F388" s="7" t="s">
        <v>116</v>
      </c>
      <c r="G388" s="7" t="s">
        <v>144</v>
      </c>
      <c r="H388" s="7" t="s">
        <v>231</v>
      </c>
      <c r="I388" s="7" t="s">
        <v>232</v>
      </c>
      <c r="J388" s="8" t="n">
        <v>45761</v>
      </c>
      <c r="K388" s="8" t="n">
        <v>45864</v>
      </c>
      <c r="L388" s="9" t="n">
        <f aca="false">K388-J388</f>
        <v>103</v>
      </c>
      <c r="M388" s="10" t="n">
        <v>74680.25</v>
      </c>
      <c r="N388" s="7" t="s">
        <v>131</v>
      </c>
      <c r="O388" s="7"/>
      <c r="P388" s="8" t="n">
        <v>45882</v>
      </c>
      <c r="Q388" s="7" t="n">
        <v>3</v>
      </c>
      <c r="R388" s="8" t="n">
        <f aca="false">EDATE(P388,Q388)</f>
        <v>45974</v>
      </c>
    </row>
    <row r="389" customFormat="false" ht="15" hidden="false" customHeight="false" outlineLevel="0" collapsed="false">
      <c r="A389" s="7" t="s">
        <v>860</v>
      </c>
      <c r="B389" s="7" t="s">
        <v>861</v>
      </c>
      <c r="C389" s="7" t="s">
        <v>862</v>
      </c>
      <c r="D389" s="7" t="s">
        <v>151</v>
      </c>
      <c r="E389" s="7" t="s">
        <v>162</v>
      </c>
      <c r="F389" s="7" t="s">
        <v>143</v>
      </c>
      <c r="G389" s="7" t="s">
        <v>184</v>
      </c>
      <c r="H389" s="7" t="s">
        <v>171</v>
      </c>
      <c r="I389" s="7" t="s">
        <v>172</v>
      </c>
      <c r="J389" s="8" t="n">
        <v>45742</v>
      </c>
      <c r="K389" s="8" t="n">
        <v>45864</v>
      </c>
      <c r="L389" s="9" t="n">
        <f aca="false">K389-J389</f>
        <v>122</v>
      </c>
      <c r="M389" s="10" t="n">
        <v>650000</v>
      </c>
      <c r="N389" s="7" t="s">
        <v>99</v>
      </c>
      <c r="O389" s="7" t="s">
        <v>219</v>
      </c>
      <c r="P389" s="7"/>
      <c r="Q389" s="7"/>
      <c r="R389" s="7"/>
    </row>
    <row r="390" customFormat="false" ht="15" hidden="false" customHeight="false" outlineLevel="0" collapsed="false">
      <c r="A390" s="7" t="s">
        <v>863</v>
      </c>
      <c r="B390" s="7" t="s">
        <v>362</v>
      </c>
      <c r="C390" s="7" t="s">
        <v>363</v>
      </c>
      <c r="D390" s="7" t="s">
        <v>195</v>
      </c>
      <c r="E390" s="7" t="s">
        <v>162</v>
      </c>
      <c r="F390" s="7" t="s">
        <v>95</v>
      </c>
      <c r="G390" s="7" t="s">
        <v>137</v>
      </c>
      <c r="H390" s="7" t="s">
        <v>402</v>
      </c>
      <c r="I390" s="7" t="s">
        <v>403</v>
      </c>
      <c r="J390" s="8" t="n">
        <v>45789</v>
      </c>
      <c r="K390" s="8" t="n">
        <v>45866</v>
      </c>
      <c r="L390" s="9" t="n">
        <f aca="false">K390-J390</f>
        <v>77</v>
      </c>
      <c r="M390" s="10" t="n">
        <v>37911.51</v>
      </c>
      <c r="N390" s="7" t="s">
        <v>99</v>
      </c>
      <c r="O390" s="7" t="s">
        <v>219</v>
      </c>
      <c r="P390" s="7"/>
      <c r="Q390" s="7"/>
      <c r="R390" s="7"/>
    </row>
    <row r="391" customFormat="false" ht="15" hidden="false" customHeight="false" outlineLevel="0" collapsed="false">
      <c r="A391" s="7" t="s">
        <v>864</v>
      </c>
      <c r="B391" s="7" t="s">
        <v>861</v>
      </c>
      <c r="C391" s="7" t="s">
        <v>862</v>
      </c>
      <c r="D391" s="7" t="s">
        <v>151</v>
      </c>
      <c r="E391" s="7" t="s">
        <v>162</v>
      </c>
      <c r="F391" s="7" t="s">
        <v>143</v>
      </c>
      <c r="G391" s="7" t="s">
        <v>96</v>
      </c>
      <c r="H391" s="7" t="s">
        <v>180</v>
      </c>
      <c r="I391" s="7" t="s">
        <v>181</v>
      </c>
      <c r="J391" s="8" t="n">
        <v>45796</v>
      </c>
      <c r="K391" s="8" t="n">
        <v>45866</v>
      </c>
      <c r="L391" s="9" t="n">
        <f aca="false">K391-J391</f>
        <v>70</v>
      </c>
      <c r="M391" s="10" t="n">
        <v>97262.68</v>
      </c>
      <c r="N391" s="7" t="s">
        <v>99</v>
      </c>
      <c r="O391" s="7" t="s">
        <v>147</v>
      </c>
      <c r="P391" s="7"/>
      <c r="Q391" s="7"/>
      <c r="R391" s="7"/>
    </row>
    <row r="392" customFormat="false" ht="15" hidden="false" customHeight="false" outlineLevel="0" collapsed="false">
      <c r="A392" s="7" t="s">
        <v>865</v>
      </c>
      <c r="B392" s="7" t="s">
        <v>424</v>
      </c>
      <c r="C392" s="7" t="s">
        <v>425</v>
      </c>
      <c r="D392" s="7" t="s">
        <v>114</v>
      </c>
      <c r="E392" s="7" t="s">
        <v>115</v>
      </c>
      <c r="F392" s="7" t="s">
        <v>116</v>
      </c>
      <c r="G392" s="7" t="s">
        <v>96</v>
      </c>
      <c r="H392" s="7" t="s">
        <v>213</v>
      </c>
      <c r="I392" s="7" t="s">
        <v>214</v>
      </c>
      <c r="J392" s="8" t="n">
        <v>45813</v>
      </c>
      <c r="K392" s="8" t="n">
        <v>45871</v>
      </c>
      <c r="L392" s="9" t="n">
        <f aca="false">K392-J392</f>
        <v>58</v>
      </c>
      <c r="M392" s="10" t="n">
        <v>108292.74</v>
      </c>
      <c r="N392" s="7" t="s">
        <v>131</v>
      </c>
      <c r="O392" s="7"/>
      <c r="P392" s="8" t="n">
        <v>45875</v>
      </c>
      <c r="Q392" s="7" t="n">
        <v>3</v>
      </c>
      <c r="R392" s="8" t="n">
        <f aca="false">EDATE(P392,Q392)</f>
        <v>45967</v>
      </c>
    </row>
    <row r="393" customFormat="false" ht="15" hidden="false" customHeight="false" outlineLevel="0" collapsed="false">
      <c r="A393" s="7" t="s">
        <v>866</v>
      </c>
      <c r="B393" s="7" t="s">
        <v>169</v>
      </c>
      <c r="C393" s="7" t="s">
        <v>170</v>
      </c>
      <c r="D393" s="7" t="s">
        <v>104</v>
      </c>
      <c r="E393" s="7" t="s">
        <v>94</v>
      </c>
      <c r="F393" s="7" t="s">
        <v>143</v>
      </c>
      <c r="G393" s="7" t="s">
        <v>117</v>
      </c>
      <c r="H393" s="7" t="s">
        <v>223</v>
      </c>
      <c r="I393" s="7" t="s">
        <v>224</v>
      </c>
      <c r="J393" s="8" t="n">
        <v>45766</v>
      </c>
      <c r="K393" s="8" t="n">
        <v>45873</v>
      </c>
      <c r="L393" s="9" t="n">
        <f aca="false">K393-J393</f>
        <v>107</v>
      </c>
      <c r="M393" s="10" t="n">
        <v>397312.7</v>
      </c>
      <c r="N393" s="7" t="s">
        <v>99</v>
      </c>
      <c r="O393" s="7" t="s">
        <v>219</v>
      </c>
      <c r="P393" s="7"/>
      <c r="Q393" s="7"/>
      <c r="R393" s="7"/>
    </row>
    <row r="394" customFormat="false" ht="15" hidden="false" customHeight="false" outlineLevel="0" collapsed="false">
      <c r="A394" s="7" t="s">
        <v>867</v>
      </c>
      <c r="B394" s="7" t="s">
        <v>674</v>
      </c>
      <c r="C394" s="7" t="s">
        <v>675</v>
      </c>
      <c r="D394" s="7" t="s">
        <v>151</v>
      </c>
      <c r="E394" s="7" t="s">
        <v>105</v>
      </c>
      <c r="F394" s="7" t="s">
        <v>143</v>
      </c>
      <c r="G394" s="7" t="s">
        <v>137</v>
      </c>
      <c r="H394" s="7" t="s">
        <v>231</v>
      </c>
      <c r="I394" s="7" t="s">
        <v>232</v>
      </c>
      <c r="J394" s="8" t="n">
        <v>45788</v>
      </c>
      <c r="K394" s="8" t="n">
        <v>45874</v>
      </c>
      <c r="L394" s="9" t="n">
        <f aca="false">K394-J394</f>
        <v>86</v>
      </c>
      <c r="M394" s="10" t="n">
        <v>85774.43</v>
      </c>
      <c r="N394" s="7" t="s">
        <v>131</v>
      </c>
      <c r="O394" s="7"/>
      <c r="P394" s="8" t="n">
        <v>45876</v>
      </c>
      <c r="Q394" s="7" t="n">
        <v>6</v>
      </c>
      <c r="R394" s="8" t="n">
        <f aca="false">EDATE(P394,Q394)</f>
        <v>46060</v>
      </c>
    </row>
    <row r="395" customFormat="false" ht="15" hidden="false" customHeight="false" outlineLevel="0" collapsed="false">
      <c r="A395" s="7" t="s">
        <v>868</v>
      </c>
      <c r="B395" s="7" t="s">
        <v>717</v>
      </c>
      <c r="C395" s="7" t="s">
        <v>718</v>
      </c>
      <c r="D395" s="7" t="s">
        <v>114</v>
      </c>
      <c r="E395" s="7" t="s">
        <v>162</v>
      </c>
      <c r="F395" s="7" t="s">
        <v>106</v>
      </c>
      <c r="G395" s="7" t="s">
        <v>137</v>
      </c>
      <c r="H395" s="7" t="s">
        <v>138</v>
      </c>
      <c r="I395" s="7" t="s">
        <v>139</v>
      </c>
      <c r="J395" s="8" t="n">
        <v>45789</v>
      </c>
      <c r="K395" s="8" t="n">
        <v>45875</v>
      </c>
      <c r="L395" s="9" t="n">
        <f aca="false">K395-J395</f>
        <v>86</v>
      </c>
      <c r="M395" s="10" t="n">
        <v>87277.91</v>
      </c>
      <c r="N395" s="7" t="s">
        <v>99</v>
      </c>
      <c r="O395" s="7" t="s">
        <v>100</v>
      </c>
      <c r="P395" s="7"/>
      <c r="Q395" s="7"/>
      <c r="R395" s="7"/>
    </row>
    <row r="396" customFormat="false" ht="15" hidden="false" customHeight="false" outlineLevel="0" collapsed="false">
      <c r="A396" s="7" t="s">
        <v>869</v>
      </c>
      <c r="B396" s="7" t="s">
        <v>318</v>
      </c>
      <c r="C396" s="7" t="s">
        <v>319</v>
      </c>
      <c r="D396" s="7" t="s">
        <v>114</v>
      </c>
      <c r="E396" s="7" t="s">
        <v>94</v>
      </c>
      <c r="F396" s="7" t="s">
        <v>128</v>
      </c>
      <c r="G396" s="7" t="s">
        <v>96</v>
      </c>
      <c r="H396" s="7" t="s">
        <v>190</v>
      </c>
      <c r="I396" s="7" t="s">
        <v>191</v>
      </c>
      <c r="J396" s="8" t="n">
        <v>45801</v>
      </c>
      <c r="K396" s="8" t="n">
        <v>45875</v>
      </c>
      <c r="L396" s="9" t="n">
        <f aca="false">K396-J396</f>
        <v>74</v>
      </c>
      <c r="M396" s="10" t="n">
        <v>88607.85</v>
      </c>
      <c r="N396" s="7" t="s">
        <v>131</v>
      </c>
      <c r="O396" s="7"/>
      <c r="P396" s="8" t="n">
        <v>45883</v>
      </c>
      <c r="Q396" s="7" t="n">
        <v>3</v>
      </c>
      <c r="R396" s="8" t="n">
        <f aca="false">EDATE(P396,Q396)</f>
        <v>45975</v>
      </c>
    </row>
    <row r="397" customFormat="false" ht="15" hidden="false" customHeight="false" outlineLevel="0" collapsed="false">
      <c r="A397" s="7" t="s">
        <v>870</v>
      </c>
      <c r="B397" s="7" t="s">
        <v>871</v>
      </c>
      <c r="C397" s="7" t="s">
        <v>872</v>
      </c>
      <c r="D397" s="7" t="s">
        <v>114</v>
      </c>
      <c r="E397" s="7" t="s">
        <v>105</v>
      </c>
      <c r="F397" s="7" t="s">
        <v>106</v>
      </c>
      <c r="G397" s="7" t="s">
        <v>107</v>
      </c>
      <c r="H397" s="7" t="s">
        <v>213</v>
      </c>
      <c r="I397" s="7" t="s">
        <v>214</v>
      </c>
      <c r="J397" s="8" t="n">
        <v>45819</v>
      </c>
      <c r="K397" s="8" t="n">
        <v>45876</v>
      </c>
      <c r="L397" s="9" t="n">
        <f aca="false">K397-J397</f>
        <v>57</v>
      </c>
      <c r="M397" s="10" t="n">
        <v>28018.65</v>
      </c>
      <c r="N397" s="7" t="s">
        <v>99</v>
      </c>
      <c r="O397" s="7" t="s">
        <v>100</v>
      </c>
      <c r="P397" s="7"/>
      <c r="Q397" s="7"/>
      <c r="R397" s="7"/>
    </row>
    <row r="398" customFormat="false" ht="15" hidden="false" customHeight="false" outlineLevel="0" collapsed="false">
      <c r="A398" s="7" t="s">
        <v>873</v>
      </c>
      <c r="B398" s="7" t="s">
        <v>366</v>
      </c>
      <c r="C398" s="7" t="s">
        <v>367</v>
      </c>
      <c r="D398" s="7" t="s">
        <v>114</v>
      </c>
      <c r="E398" s="7" t="s">
        <v>162</v>
      </c>
      <c r="F398" s="7" t="s">
        <v>95</v>
      </c>
      <c r="G398" s="7" t="s">
        <v>117</v>
      </c>
      <c r="H398" s="7" t="s">
        <v>108</v>
      </c>
      <c r="I398" s="7" t="s">
        <v>109</v>
      </c>
      <c r="J398" s="8" t="n">
        <v>45798</v>
      </c>
      <c r="K398" s="8" t="n">
        <v>45876</v>
      </c>
      <c r="L398" s="9" t="n">
        <f aca="false">K398-J398</f>
        <v>78</v>
      </c>
      <c r="M398" s="10" t="n">
        <v>92446.23</v>
      </c>
      <c r="N398" s="7" t="s">
        <v>131</v>
      </c>
      <c r="O398" s="7"/>
      <c r="P398" s="8" t="n">
        <v>45890</v>
      </c>
      <c r="Q398" s="7" t="n">
        <v>4</v>
      </c>
      <c r="R398" s="8" t="n">
        <f aca="false">EDATE(P398,Q398)</f>
        <v>46012</v>
      </c>
    </row>
    <row r="399" customFormat="false" ht="15" hidden="false" customHeight="false" outlineLevel="0" collapsed="false">
      <c r="A399" s="7" t="s">
        <v>874</v>
      </c>
      <c r="B399" s="7" t="s">
        <v>875</v>
      </c>
      <c r="C399" s="7" t="s">
        <v>876</v>
      </c>
      <c r="D399" s="7" t="s">
        <v>114</v>
      </c>
      <c r="E399" s="7" t="s">
        <v>162</v>
      </c>
      <c r="F399" s="7" t="s">
        <v>128</v>
      </c>
      <c r="G399" s="7" t="s">
        <v>96</v>
      </c>
      <c r="H399" s="7" t="s">
        <v>177</v>
      </c>
      <c r="I399" s="7" t="s">
        <v>178</v>
      </c>
      <c r="J399" s="8" t="n">
        <v>45777</v>
      </c>
      <c r="K399" s="8" t="n">
        <v>45877</v>
      </c>
      <c r="L399" s="9" t="n">
        <f aca="false">K399-J399</f>
        <v>100</v>
      </c>
      <c r="M399" s="10" t="n">
        <v>118346.98</v>
      </c>
      <c r="N399" s="7" t="s">
        <v>131</v>
      </c>
      <c r="O399" s="7"/>
      <c r="P399" s="8" t="n">
        <v>45877</v>
      </c>
      <c r="Q399" s="7" t="n">
        <v>1</v>
      </c>
      <c r="R399" s="8" t="n">
        <f aca="false">EDATE(P399,Q399)</f>
        <v>45908</v>
      </c>
    </row>
    <row r="400" customFormat="false" ht="15" hidden="false" customHeight="false" outlineLevel="0" collapsed="false">
      <c r="A400" s="7" t="s">
        <v>877</v>
      </c>
      <c r="B400" s="7" t="s">
        <v>750</v>
      </c>
      <c r="C400" s="7" t="s">
        <v>751</v>
      </c>
      <c r="D400" s="7" t="s">
        <v>201</v>
      </c>
      <c r="E400" s="7" t="s">
        <v>115</v>
      </c>
      <c r="F400" s="7" t="s">
        <v>157</v>
      </c>
      <c r="G400" s="7" t="s">
        <v>144</v>
      </c>
      <c r="H400" s="7" t="s">
        <v>166</v>
      </c>
      <c r="I400" s="7" t="s">
        <v>167</v>
      </c>
      <c r="J400" s="8" t="n">
        <v>45819</v>
      </c>
      <c r="K400" s="8" t="n">
        <v>45881</v>
      </c>
      <c r="L400" s="9" t="n">
        <f aca="false">K400-J400</f>
        <v>62</v>
      </c>
      <c r="M400" s="10" t="n">
        <v>65494.8</v>
      </c>
      <c r="N400" s="7" t="s">
        <v>99</v>
      </c>
      <c r="O400" s="7" t="s">
        <v>147</v>
      </c>
      <c r="P400" s="7"/>
      <c r="Q400" s="7"/>
      <c r="R400" s="7"/>
    </row>
    <row r="401" customFormat="false" ht="15" hidden="false" customHeight="false" outlineLevel="0" collapsed="false">
      <c r="A401" s="7" t="s">
        <v>878</v>
      </c>
      <c r="B401" s="7" t="s">
        <v>657</v>
      </c>
      <c r="C401" s="7" t="s">
        <v>658</v>
      </c>
      <c r="D401" s="7" t="s">
        <v>104</v>
      </c>
      <c r="E401" s="7" t="s">
        <v>94</v>
      </c>
      <c r="F401" s="7" t="s">
        <v>128</v>
      </c>
      <c r="G401" s="7" t="s">
        <v>176</v>
      </c>
      <c r="H401" s="7" t="s">
        <v>270</v>
      </c>
      <c r="I401" s="7" t="s">
        <v>271</v>
      </c>
      <c r="J401" s="8" t="n">
        <v>45771</v>
      </c>
      <c r="K401" s="8" t="n">
        <v>45881</v>
      </c>
      <c r="L401" s="9" t="n">
        <f aca="false">K401-J401</f>
        <v>110</v>
      </c>
      <c r="M401" s="10" t="n">
        <v>32523.45</v>
      </c>
      <c r="N401" s="7" t="s">
        <v>131</v>
      </c>
      <c r="O401" s="7"/>
      <c r="P401" s="8" t="n">
        <v>45904</v>
      </c>
      <c r="Q401" s="7" t="n">
        <v>1</v>
      </c>
      <c r="R401" s="8" t="n">
        <f aca="false">EDATE(P401,Q401)</f>
        <v>45934</v>
      </c>
    </row>
    <row r="402" customFormat="false" ht="15" hidden="false" customHeight="false" outlineLevel="0" collapsed="false">
      <c r="A402" s="7" t="s">
        <v>879</v>
      </c>
      <c r="B402" s="7" t="s">
        <v>372</v>
      </c>
      <c r="C402" s="7" t="s">
        <v>373</v>
      </c>
      <c r="D402" s="7" t="s">
        <v>242</v>
      </c>
      <c r="E402" s="7" t="s">
        <v>105</v>
      </c>
      <c r="F402" s="7" t="s">
        <v>136</v>
      </c>
      <c r="G402" s="7" t="s">
        <v>176</v>
      </c>
      <c r="H402" s="7" t="s">
        <v>402</v>
      </c>
      <c r="I402" s="7" t="s">
        <v>403</v>
      </c>
      <c r="J402" s="8" t="n">
        <v>45799</v>
      </c>
      <c r="K402" s="8" t="n">
        <v>45882</v>
      </c>
      <c r="L402" s="9" t="n">
        <f aca="false">K402-J402</f>
        <v>83</v>
      </c>
      <c r="M402" s="10" t="n">
        <v>98361.11</v>
      </c>
      <c r="N402" s="7" t="s">
        <v>131</v>
      </c>
      <c r="O402" s="7"/>
      <c r="P402" s="8" t="n">
        <v>45893</v>
      </c>
      <c r="Q402" s="7" t="n">
        <v>3</v>
      </c>
      <c r="R402" s="8" t="n">
        <f aca="false">EDATE(P402,Q402)</f>
        <v>45985</v>
      </c>
    </row>
    <row r="403" customFormat="false" ht="15" hidden="false" customHeight="false" outlineLevel="0" collapsed="false">
      <c r="A403" s="7" t="s">
        <v>880</v>
      </c>
      <c r="B403" s="7" t="s">
        <v>490</v>
      </c>
      <c r="C403" s="7" t="s">
        <v>491</v>
      </c>
      <c r="D403" s="7" t="s">
        <v>195</v>
      </c>
      <c r="E403" s="7" t="s">
        <v>162</v>
      </c>
      <c r="F403" s="7" t="s">
        <v>136</v>
      </c>
      <c r="G403" s="7" t="s">
        <v>184</v>
      </c>
      <c r="H403" s="7" t="s">
        <v>177</v>
      </c>
      <c r="I403" s="7" t="s">
        <v>178</v>
      </c>
      <c r="J403" s="8" t="n">
        <v>45788</v>
      </c>
      <c r="K403" s="8" t="n">
        <v>45882</v>
      </c>
      <c r="L403" s="9" t="n">
        <f aca="false">K403-J403</f>
        <v>94</v>
      </c>
      <c r="M403" s="10" t="n">
        <v>78660.11</v>
      </c>
      <c r="N403" s="7" t="s">
        <v>99</v>
      </c>
      <c r="O403" s="7" t="s">
        <v>118</v>
      </c>
      <c r="P403" s="7"/>
      <c r="Q403" s="7"/>
      <c r="R403" s="7"/>
    </row>
    <row r="404" customFormat="false" ht="15" hidden="false" customHeight="false" outlineLevel="0" collapsed="false">
      <c r="A404" s="7" t="s">
        <v>881</v>
      </c>
      <c r="B404" s="7" t="s">
        <v>882</v>
      </c>
      <c r="C404" s="7" t="s">
        <v>883</v>
      </c>
      <c r="D404" s="7" t="s">
        <v>151</v>
      </c>
      <c r="E404" s="7" t="s">
        <v>105</v>
      </c>
      <c r="F404" s="7" t="s">
        <v>106</v>
      </c>
      <c r="G404" s="7" t="s">
        <v>137</v>
      </c>
      <c r="H404" s="7" t="s">
        <v>281</v>
      </c>
      <c r="I404" s="7" t="s">
        <v>282</v>
      </c>
      <c r="J404" s="8" t="n">
        <v>45809</v>
      </c>
      <c r="K404" s="8" t="n">
        <v>45884</v>
      </c>
      <c r="L404" s="9" t="n">
        <f aca="false">K404-J404</f>
        <v>75</v>
      </c>
      <c r="M404" s="10" t="n">
        <v>56177.81</v>
      </c>
      <c r="N404" s="7" t="s">
        <v>99</v>
      </c>
      <c r="O404" s="7" t="s">
        <v>118</v>
      </c>
      <c r="P404" s="7"/>
      <c r="Q404" s="7"/>
      <c r="R404" s="7"/>
    </row>
    <row r="405" customFormat="false" ht="15" hidden="false" customHeight="false" outlineLevel="0" collapsed="false">
      <c r="A405" s="7" t="s">
        <v>884</v>
      </c>
      <c r="B405" s="7" t="s">
        <v>418</v>
      </c>
      <c r="C405" s="7" t="s">
        <v>419</v>
      </c>
      <c r="D405" s="7" t="s">
        <v>93</v>
      </c>
      <c r="E405" s="7" t="s">
        <v>115</v>
      </c>
      <c r="F405" s="7" t="s">
        <v>157</v>
      </c>
      <c r="G405" s="7" t="s">
        <v>107</v>
      </c>
      <c r="H405" s="7" t="s">
        <v>152</v>
      </c>
      <c r="I405" s="7" t="s">
        <v>153</v>
      </c>
      <c r="J405" s="8" t="n">
        <v>45807</v>
      </c>
      <c r="K405" s="8" t="n">
        <v>45885</v>
      </c>
      <c r="L405" s="9" t="n">
        <f aca="false">K405-J405</f>
        <v>78</v>
      </c>
      <c r="M405" s="10" t="n">
        <v>99531.98</v>
      </c>
      <c r="N405" s="7" t="s">
        <v>131</v>
      </c>
      <c r="O405" s="7"/>
      <c r="P405" s="8" t="n">
        <v>45906</v>
      </c>
      <c r="Q405" s="7" t="n">
        <v>4</v>
      </c>
      <c r="R405" s="8" t="n">
        <f aca="false">EDATE(P405,Q405)</f>
        <v>46028</v>
      </c>
    </row>
    <row r="406" customFormat="false" ht="15" hidden="false" customHeight="false" outlineLevel="0" collapsed="false">
      <c r="A406" s="7" t="s">
        <v>885</v>
      </c>
      <c r="B406" s="7" t="s">
        <v>886</v>
      </c>
      <c r="C406" s="7" t="s">
        <v>887</v>
      </c>
      <c r="D406" s="7" t="s">
        <v>104</v>
      </c>
      <c r="E406" s="7" t="s">
        <v>115</v>
      </c>
      <c r="F406" s="7" t="s">
        <v>136</v>
      </c>
      <c r="G406" s="7" t="s">
        <v>137</v>
      </c>
      <c r="H406" s="7" t="s">
        <v>166</v>
      </c>
      <c r="I406" s="7" t="s">
        <v>167</v>
      </c>
      <c r="J406" s="8" t="n">
        <v>45792</v>
      </c>
      <c r="K406" s="8" t="n">
        <v>45885</v>
      </c>
      <c r="L406" s="9" t="n">
        <f aca="false">K406-J406</f>
        <v>93</v>
      </c>
      <c r="M406" s="10" t="n">
        <v>54366.74</v>
      </c>
      <c r="N406" s="7" t="s">
        <v>99</v>
      </c>
      <c r="O406" s="7" t="s">
        <v>110</v>
      </c>
      <c r="P406" s="7"/>
      <c r="Q406" s="7"/>
      <c r="R406" s="7"/>
    </row>
    <row r="407" customFormat="false" ht="15" hidden="false" customHeight="false" outlineLevel="0" collapsed="false">
      <c r="A407" s="7" t="s">
        <v>888</v>
      </c>
      <c r="B407" s="7" t="s">
        <v>747</v>
      </c>
      <c r="C407" s="7" t="s">
        <v>748</v>
      </c>
      <c r="D407" s="7" t="s">
        <v>195</v>
      </c>
      <c r="E407" s="7" t="s">
        <v>105</v>
      </c>
      <c r="F407" s="7" t="s">
        <v>128</v>
      </c>
      <c r="G407" s="7" t="s">
        <v>176</v>
      </c>
      <c r="H407" s="7" t="s">
        <v>231</v>
      </c>
      <c r="I407" s="7" t="s">
        <v>232</v>
      </c>
      <c r="J407" s="8" t="n">
        <v>45820</v>
      </c>
      <c r="K407" s="8" t="n">
        <v>45886</v>
      </c>
      <c r="L407" s="9" t="n">
        <f aca="false">K407-J407</f>
        <v>66</v>
      </c>
      <c r="M407" s="10" t="n">
        <v>35419.59</v>
      </c>
      <c r="N407" s="7" t="s">
        <v>131</v>
      </c>
      <c r="O407" s="7"/>
      <c r="P407" s="8" t="n">
        <v>45910</v>
      </c>
      <c r="Q407" s="7" t="n">
        <v>3</v>
      </c>
      <c r="R407" s="8" t="n">
        <f aca="false">EDATE(P407,Q407)</f>
        <v>46001</v>
      </c>
    </row>
    <row r="408" customFormat="false" ht="15" hidden="false" customHeight="false" outlineLevel="0" collapsed="false">
      <c r="A408" s="7" t="s">
        <v>889</v>
      </c>
      <c r="B408" s="7" t="s">
        <v>149</v>
      </c>
      <c r="C408" s="7" t="s">
        <v>150</v>
      </c>
      <c r="D408" s="7" t="s">
        <v>151</v>
      </c>
      <c r="E408" s="7" t="s">
        <v>94</v>
      </c>
      <c r="F408" s="7" t="s">
        <v>157</v>
      </c>
      <c r="G408" s="7" t="s">
        <v>137</v>
      </c>
      <c r="H408" s="7" t="s">
        <v>205</v>
      </c>
      <c r="I408" s="7" t="s">
        <v>206</v>
      </c>
      <c r="J408" s="8" t="n">
        <v>45799</v>
      </c>
      <c r="K408" s="8" t="n">
        <v>45886</v>
      </c>
      <c r="L408" s="9" t="n">
        <f aca="false">K408-J408</f>
        <v>87</v>
      </c>
      <c r="M408" s="10" t="n">
        <v>56079.8</v>
      </c>
      <c r="N408" s="7" t="s">
        <v>99</v>
      </c>
      <c r="O408" s="7" t="s">
        <v>147</v>
      </c>
      <c r="P408" s="7"/>
      <c r="Q408" s="7"/>
      <c r="R408" s="7"/>
    </row>
    <row r="409" customFormat="false" ht="15" hidden="false" customHeight="false" outlineLevel="0" collapsed="false">
      <c r="A409" s="7" t="s">
        <v>890</v>
      </c>
      <c r="B409" s="7" t="s">
        <v>237</v>
      </c>
      <c r="C409" s="7" t="s">
        <v>238</v>
      </c>
      <c r="D409" s="7" t="s">
        <v>195</v>
      </c>
      <c r="E409" s="7" t="s">
        <v>94</v>
      </c>
      <c r="F409" s="7" t="s">
        <v>128</v>
      </c>
      <c r="G409" s="7" t="s">
        <v>96</v>
      </c>
      <c r="H409" s="7" t="s">
        <v>231</v>
      </c>
      <c r="I409" s="7" t="s">
        <v>232</v>
      </c>
      <c r="J409" s="8" t="n">
        <v>45815</v>
      </c>
      <c r="K409" s="8" t="n">
        <v>45887</v>
      </c>
      <c r="L409" s="9" t="n">
        <f aca="false">K409-J409</f>
        <v>72</v>
      </c>
      <c r="M409" s="10" t="n">
        <v>108973.51</v>
      </c>
      <c r="N409" s="7" t="s">
        <v>131</v>
      </c>
      <c r="O409" s="7"/>
      <c r="P409" s="8" t="n">
        <v>45887</v>
      </c>
      <c r="Q409" s="7" t="n">
        <v>2</v>
      </c>
      <c r="R409" s="8" t="n">
        <f aca="false">EDATE(P409,Q409)</f>
        <v>45948</v>
      </c>
    </row>
    <row r="410" customFormat="false" ht="15" hidden="false" customHeight="false" outlineLevel="0" collapsed="false">
      <c r="A410" s="7" t="s">
        <v>891</v>
      </c>
      <c r="B410" s="7" t="s">
        <v>470</v>
      </c>
      <c r="C410" s="7" t="s">
        <v>471</v>
      </c>
      <c r="D410" s="7" t="s">
        <v>201</v>
      </c>
      <c r="E410" s="7" t="s">
        <v>115</v>
      </c>
      <c r="F410" s="7" t="s">
        <v>95</v>
      </c>
      <c r="G410" s="7" t="s">
        <v>137</v>
      </c>
      <c r="H410" s="7" t="s">
        <v>190</v>
      </c>
      <c r="I410" s="7" t="s">
        <v>191</v>
      </c>
      <c r="J410" s="8" t="n">
        <v>45816</v>
      </c>
      <c r="K410" s="8" t="n">
        <v>45887</v>
      </c>
      <c r="L410" s="9" t="n">
        <f aca="false">K410-J410</f>
        <v>71</v>
      </c>
      <c r="M410" s="10" t="n">
        <v>258805.89</v>
      </c>
      <c r="N410" s="7" t="s">
        <v>99</v>
      </c>
      <c r="O410" s="7" t="s">
        <v>219</v>
      </c>
      <c r="P410" s="7"/>
      <c r="Q410" s="7"/>
      <c r="R410" s="7"/>
    </row>
    <row r="411" customFormat="false" ht="15" hidden="false" customHeight="false" outlineLevel="0" collapsed="false">
      <c r="A411" s="7" t="s">
        <v>892</v>
      </c>
      <c r="B411" s="7" t="s">
        <v>595</v>
      </c>
      <c r="C411" s="7" t="s">
        <v>596</v>
      </c>
      <c r="D411" s="7" t="s">
        <v>135</v>
      </c>
      <c r="E411" s="7" t="s">
        <v>94</v>
      </c>
      <c r="F411" s="7" t="s">
        <v>157</v>
      </c>
      <c r="G411" s="7" t="s">
        <v>107</v>
      </c>
      <c r="H411" s="7" t="s">
        <v>258</v>
      </c>
      <c r="I411" s="7" t="s">
        <v>259</v>
      </c>
      <c r="J411" s="8" t="n">
        <v>45793</v>
      </c>
      <c r="K411" s="8" t="n">
        <v>45889</v>
      </c>
      <c r="L411" s="9" t="n">
        <f aca="false">K411-J411</f>
        <v>96</v>
      </c>
      <c r="M411" s="10" t="n">
        <v>206172.68</v>
      </c>
      <c r="N411" s="7" t="s">
        <v>99</v>
      </c>
      <c r="O411" s="7" t="s">
        <v>147</v>
      </c>
      <c r="P411" s="7"/>
      <c r="Q411" s="7"/>
      <c r="R411" s="7"/>
    </row>
    <row r="412" customFormat="false" ht="15" hidden="false" customHeight="false" outlineLevel="0" collapsed="false">
      <c r="A412" s="7" t="s">
        <v>893</v>
      </c>
      <c r="B412" s="7" t="s">
        <v>875</v>
      </c>
      <c r="C412" s="7" t="s">
        <v>876</v>
      </c>
      <c r="D412" s="7" t="s">
        <v>114</v>
      </c>
      <c r="E412" s="7" t="s">
        <v>162</v>
      </c>
      <c r="F412" s="7" t="s">
        <v>95</v>
      </c>
      <c r="G412" s="7" t="s">
        <v>96</v>
      </c>
      <c r="H412" s="7" t="s">
        <v>402</v>
      </c>
      <c r="I412" s="7" t="s">
        <v>403</v>
      </c>
      <c r="J412" s="8" t="n">
        <v>45789</v>
      </c>
      <c r="K412" s="8" t="n">
        <v>45889</v>
      </c>
      <c r="L412" s="9" t="n">
        <f aca="false">K412-J412</f>
        <v>100</v>
      </c>
      <c r="M412" s="10" t="n">
        <v>150212.94</v>
      </c>
      <c r="N412" s="7" t="s">
        <v>99</v>
      </c>
      <c r="O412" s="7" t="s">
        <v>118</v>
      </c>
      <c r="P412" s="7"/>
      <c r="Q412" s="7"/>
      <c r="R412" s="7"/>
    </row>
    <row r="413" customFormat="false" ht="15" hidden="false" customHeight="false" outlineLevel="0" collapsed="false">
      <c r="A413" s="7" t="s">
        <v>894</v>
      </c>
      <c r="B413" s="7" t="s">
        <v>546</v>
      </c>
      <c r="C413" s="7" t="s">
        <v>547</v>
      </c>
      <c r="D413" s="7" t="s">
        <v>201</v>
      </c>
      <c r="E413" s="7" t="s">
        <v>105</v>
      </c>
      <c r="F413" s="7" t="s">
        <v>183</v>
      </c>
      <c r="G413" s="7" t="s">
        <v>184</v>
      </c>
      <c r="H413" s="7" t="s">
        <v>270</v>
      </c>
      <c r="I413" s="7" t="s">
        <v>271</v>
      </c>
      <c r="J413" s="8" t="n">
        <v>45774</v>
      </c>
      <c r="K413" s="8" t="n">
        <v>45891</v>
      </c>
      <c r="L413" s="9" t="n">
        <f aca="false">K413-J413</f>
        <v>117</v>
      </c>
      <c r="M413" s="10" t="n">
        <v>103485.45</v>
      </c>
      <c r="N413" s="7" t="s">
        <v>131</v>
      </c>
      <c r="O413" s="7"/>
      <c r="P413" s="8" t="n">
        <v>45902</v>
      </c>
      <c r="Q413" s="7" t="n">
        <v>2</v>
      </c>
      <c r="R413" s="8" t="n">
        <f aca="false">EDATE(P413,Q413)</f>
        <v>45963</v>
      </c>
    </row>
    <row r="414" customFormat="false" ht="15" hidden="false" customHeight="false" outlineLevel="0" collapsed="false">
      <c r="A414" s="7" t="s">
        <v>895</v>
      </c>
      <c r="B414" s="7" t="s">
        <v>276</v>
      </c>
      <c r="C414" s="7" t="s">
        <v>277</v>
      </c>
      <c r="D414" s="7" t="s">
        <v>114</v>
      </c>
      <c r="E414" s="7" t="s">
        <v>162</v>
      </c>
      <c r="F414" s="7" t="s">
        <v>183</v>
      </c>
      <c r="G414" s="7" t="s">
        <v>117</v>
      </c>
      <c r="H414" s="7" t="s">
        <v>122</v>
      </c>
      <c r="I414" s="7" t="s">
        <v>123</v>
      </c>
      <c r="J414" s="8" t="n">
        <v>45789</v>
      </c>
      <c r="K414" s="8" t="n">
        <v>45892</v>
      </c>
      <c r="L414" s="9" t="n">
        <f aca="false">K414-J414</f>
        <v>103</v>
      </c>
      <c r="M414" s="10" t="n">
        <v>125578.46</v>
      </c>
      <c r="N414" s="7" t="s">
        <v>131</v>
      </c>
      <c r="O414" s="7"/>
      <c r="P414" s="8" t="n">
        <v>45909</v>
      </c>
      <c r="Q414" s="7" t="n">
        <v>3</v>
      </c>
      <c r="R414" s="8" t="n">
        <f aca="false">EDATE(P414,Q414)</f>
        <v>46000</v>
      </c>
    </row>
    <row r="415" customFormat="false" ht="15" hidden="false" customHeight="false" outlineLevel="0" collapsed="false">
      <c r="A415" s="7" t="s">
        <v>896</v>
      </c>
      <c r="B415" s="7" t="s">
        <v>427</v>
      </c>
      <c r="C415" s="7" t="s">
        <v>428</v>
      </c>
      <c r="D415" s="7" t="s">
        <v>151</v>
      </c>
      <c r="E415" s="7" t="s">
        <v>94</v>
      </c>
      <c r="F415" s="7" t="s">
        <v>116</v>
      </c>
      <c r="G415" s="7" t="s">
        <v>184</v>
      </c>
      <c r="H415" s="7" t="s">
        <v>258</v>
      </c>
      <c r="I415" s="7" t="s">
        <v>259</v>
      </c>
      <c r="J415" s="8" t="n">
        <v>45807</v>
      </c>
      <c r="K415" s="8" t="n">
        <v>45893</v>
      </c>
      <c r="L415" s="9" t="n">
        <f aca="false">K415-J415</f>
        <v>86</v>
      </c>
      <c r="M415" s="10" t="n">
        <v>90442.2</v>
      </c>
      <c r="N415" s="7" t="s">
        <v>99</v>
      </c>
      <c r="O415" s="7" t="s">
        <v>118</v>
      </c>
      <c r="P415" s="7"/>
      <c r="Q415" s="7"/>
      <c r="R415" s="7"/>
    </row>
    <row r="416" customFormat="false" ht="15" hidden="false" customHeight="false" outlineLevel="0" collapsed="false">
      <c r="A416" s="7" t="s">
        <v>897</v>
      </c>
      <c r="B416" s="7" t="s">
        <v>724</v>
      </c>
      <c r="C416" s="7" t="s">
        <v>725</v>
      </c>
      <c r="D416" s="7" t="s">
        <v>195</v>
      </c>
      <c r="E416" s="7" t="s">
        <v>115</v>
      </c>
      <c r="F416" s="7" t="s">
        <v>128</v>
      </c>
      <c r="G416" s="7" t="s">
        <v>107</v>
      </c>
      <c r="H416" s="7" t="s">
        <v>305</v>
      </c>
      <c r="I416" s="7" t="s">
        <v>306</v>
      </c>
      <c r="J416" s="8" t="n">
        <v>45833</v>
      </c>
      <c r="K416" s="8" t="n">
        <v>45894</v>
      </c>
      <c r="L416" s="9" t="n">
        <f aca="false">K416-J416</f>
        <v>61</v>
      </c>
      <c r="M416" s="10" t="n">
        <v>134405.05</v>
      </c>
      <c r="N416" s="7" t="s">
        <v>99</v>
      </c>
      <c r="O416" s="7" t="s">
        <v>147</v>
      </c>
      <c r="P416" s="7"/>
      <c r="Q416" s="7"/>
      <c r="R416" s="7"/>
    </row>
    <row r="417" customFormat="false" ht="15" hidden="false" customHeight="false" outlineLevel="0" collapsed="false">
      <c r="A417" s="7" t="s">
        <v>898</v>
      </c>
      <c r="B417" s="7" t="s">
        <v>606</v>
      </c>
      <c r="C417" s="7" t="s">
        <v>607</v>
      </c>
      <c r="D417" s="7" t="s">
        <v>135</v>
      </c>
      <c r="E417" s="7" t="s">
        <v>105</v>
      </c>
      <c r="F417" s="7" t="s">
        <v>116</v>
      </c>
      <c r="G417" s="7" t="s">
        <v>137</v>
      </c>
      <c r="H417" s="7" t="s">
        <v>231</v>
      </c>
      <c r="I417" s="7" t="s">
        <v>232</v>
      </c>
      <c r="J417" s="8" t="n">
        <v>45835</v>
      </c>
      <c r="K417" s="8" t="n">
        <v>45895</v>
      </c>
      <c r="L417" s="9" t="n">
        <f aca="false">K417-J417</f>
        <v>60</v>
      </c>
      <c r="M417" s="10" t="n">
        <v>54866.62</v>
      </c>
      <c r="N417" s="7" t="s">
        <v>131</v>
      </c>
      <c r="O417" s="7"/>
      <c r="P417" s="8" t="n">
        <v>45896</v>
      </c>
      <c r="Q417" s="7" t="n">
        <v>3</v>
      </c>
      <c r="R417" s="8" t="n">
        <f aca="false">EDATE(P417,Q417)</f>
        <v>45988</v>
      </c>
    </row>
    <row r="418" customFormat="false" ht="15" hidden="false" customHeight="false" outlineLevel="0" collapsed="false">
      <c r="A418" s="7" t="s">
        <v>899</v>
      </c>
      <c r="B418" s="7" t="s">
        <v>747</v>
      </c>
      <c r="C418" s="7" t="s">
        <v>748</v>
      </c>
      <c r="D418" s="7" t="s">
        <v>195</v>
      </c>
      <c r="E418" s="7" t="s">
        <v>105</v>
      </c>
      <c r="F418" s="7" t="s">
        <v>95</v>
      </c>
      <c r="G418" s="7" t="s">
        <v>107</v>
      </c>
      <c r="H418" s="7" t="s">
        <v>145</v>
      </c>
      <c r="I418" s="7" t="s">
        <v>146</v>
      </c>
      <c r="J418" s="8" t="n">
        <v>45826</v>
      </c>
      <c r="K418" s="8" t="n">
        <v>45896</v>
      </c>
      <c r="L418" s="9" t="n">
        <f aca="false">K418-J418</f>
        <v>70</v>
      </c>
      <c r="M418" s="10" t="n">
        <v>98705.59</v>
      </c>
      <c r="N418" s="7" t="s">
        <v>131</v>
      </c>
      <c r="O418" s="7"/>
      <c r="P418" s="8" t="n">
        <v>45918</v>
      </c>
      <c r="Q418" s="7" t="n">
        <v>1</v>
      </c>
      <c r="R418" s="8" t="n">
        <f aca="false">EDATE(P418,Q418)</f>
        <v>45948</v>
      </c>
    </row>
    <row r="419" customFormat="false" ht="15" hidden="false" customHeight="false" outlineLevel="0" collapsed="false">
      <c r="A419" s="7" t="s">
        <v>900</v>
      </c>
      <c r="B419" s="7" t="s">
        <v>569</v>
      </c>
      <c r="C419" s="7" t="s">
        <v>570</v>
      </c>
      <c r="D419" s="7" t="s">
        <v>242</v>
      </c>
      <c r="E419" s="7" t="s">
        <v>162</v>
      </c>
      <c r="F419" s="7" t="s">
        <v>128</v>
      </c>
      <c r="G419" s="7" t="s">
        <v>184</v>
      </c>
      <c r="H419" s="7" t="s">
        <v>138</v>
      </c>
      <c r="I419" s="7" t="s">
        <v>139</v>
      </c>
      <c r="J419" s="8" t="n">
        <v>45803</v>
      </c>
      <c r="K419" s="8" t="n">
        <v>45896</v>
      </c>
      <c r="L419" s="9" t="n">
        <f aca="false">K419-J419</f>
        <v>93</v>
      </c>
      <c r="M419" s="10" t="n">
        <v>52903.85</v>
      </c>
      <c r="N419" s="7" t="s">
        <v>99</v>
      </c>
      <c r="O419" s="7" t="s">
        <v>219</v>
      </c>
      <c r="P419" s="7"/>
      <c r="Q419" s="7"/>
      <c r="R419" s="7"/>
    </row>
    <row r="420" customFormat="false" ht="15" hidden="false" customHeight="false" outlineLevel="0" collapsed="false">
      <c r="A420" s="7" t="s">
        <v>901</v>
      </c>
      <c r="B420" s="7" t="s">
        <v>102</v>
      </c>
      <c r="C420" s="7" t="s">
        <v>103</v>
      </c>
      <c r="D420" s="7" t="s">
        <v>104</v>
      </c>
      <c r="E420" s="7" t="s">
        <v>105</v>
      </c>
      <c r="F420" s="7" t="s">
        <v>116</v>
      </c>
      <c r="G420" s="7" t="s">
        <v>176</v>
      </c>
      <c r="H420" s="7" t="s">
        <v>305</v>
      </c>
      <c r="I420" s="7" t="s">
        <v>306</v>
      </c>
      <c r="J420" s="8" t="n">
        <v>45772</v>
      </c>
      <c r="K420" s="8" t="n">
        <v>45897</v>
      </c>
      <c r="L420" s="9" t="n">
        <f aca="false">K420-J420</f>
        <v>125</v>
      </c>
      <c r="M420" s="10" t="n">
        <v>194985.62</v>
      </c>
      <c r="N420" s="7" t="s">
        <v>131</v>
      </c>
      <c r="O420" s="7"/>
      <c r="P420" s="8" t="n">
        <v>45906</v>
      </c>
      <c r="Q420" s="7" t="n">
        <v>6</v>
      </c>
      <c r="R420" s="8" t="n">
        <f aca="false">EDATE(P420,Q420)</f>
        <v>46087</v>
      </c>
    </row>
    <row r="421" customFormat="false" ht="15" hidden="false" customHeight="false" outlineLevel="0" collapsed="false">
      <c r="A421" s="7" t="s">
        <v>902</v>
      </c>
      <c r="B421" s="7" t="s">
        <v>724</v>
      </c>
      <c r="C421" s="7" t="s">
        <v>725</v>
      </c>
      <c r="D421" s="7" t="s">
        <v>195</v>
      </c>
      <c r="E421" s="7" t="s">
        <v>115</v>
      </c>
      <c r="F421" s="7" t="s">
        <v>95</v>
      </c>
      <c r="G421" s="7" t="s">
        <v>176</v>
      </c>
      <c r="H421" s="7" t="s">
        <v>180</v>
      </c>
      <c r="I421" s="7" t="s">
        <v>181</v>
      </c>
      <c r="J421" s="8" t="n">
        <v>45825</v>
      </c>
      <c r="K421" s="8" t="n">
        <v>45899</v>
      </c>
      <c r="L421" s="9" t="n">
        <f aca="false">K421-J421</f>
        <v>74</v>
      </c>
      <c r="M421" s="10" t="n">
        <v>51203.37</v>
      </c>
      <c r="N421" s="7" t="s">
        <v>131</v>
      </c>
      <c r="O421" s="7"/>
      <c r="P421" s="8" t="n">
        <v>45911</v>
      </c>
      <c r="Q421" s="7" t="n">
        <v>4</v>
      </c>
      <c r="R421" s="8" t="n">
        <f aca="false">EDATE(P421,Q421)</f>
        <v>46033</v>
      </c>
    </row>
    <row r="422" customFormat="false" ht="15" hidden="false" customHeight="false" outlineLevel="0" collapsed="false">
      <c r="A422" s="7" t="s">
        <v>903</v>
      </c>
      <c r="B422" s="7" t="s">
        <v>904</v>
      </c>
      <c r="C422" s="7" t="s">
        <v>905</v>
      </c>
      <c r="D422" s="7" t="s">
        <v>201</v>
      </c>
      <c r="E422" s="7" t="s">
        <v>94</v>
      </c>
      <c r="F422" s="7" t="s">
        <v>157</v>
      </c>
      <c r="G422" s="7" t="s">
        <v>137</v>
      </c>
      <c r="H422" s="7" t="s">
        <v>97</v>
      </c>
      <c r="I422" s="7" t="s">
        <v>98</v>
      </c>
      <c r="J422" s="8" t="n">
        <v>45848</v>
      </c>
      <c r="K422" s="8" t="n">
        <v>45901</v>
      </c>
      <c r="L422" s="9" t="n">
        <f aca="false">K422-J422</f>
        <v>53</v>
      </c>
      <c r="M422" s="10" t="n">
        <v>124754.67</v>
      </c>
      <c r="N422" s="7" t="s">
        <v>99</v>
      </c>
      <c r="O422" s="7" t="s">
        <v>147</v>
      </c>
      <c r="P422" s="7"/>
      <c r="Q422" s="7"/>
      <c r="R422" s="7"/>
    </row>
    <row r="423" customFormat="false" ht="15" hidden="false" customHeight="false" outlineLevel="0" collapsed="false">
      <c r="A423" s="7" t="s">
        <v>906</v>
      </c>
      <c r="B423" s="7" t="s">
        <v>603</v>
      </c>
      <c r="C423" s="7" t="s">
        <v>604</v>
      </c>
      <c r="D423" s="7" t="s">
        <v>195</v>
      </c>
      <c r="E423" s="7" t="s">
        <v>105</v>
      </c>
      <c r="F423" s="7" t="s">
        <v>143</v>
      </c>
      <c r="G423" s="7" t="s">
        <v>176</v>
      </c>
      <c r="H423" s="7" t="s">
        <v>185</v>
      </c>
      <c r="I423" s="7" t="s">
        <v>186</v>
      </c>
      <c r="J423" s="8" t="n">
        <v>45833</v>
      </c>
      <c r="K423" s="8" t="n">
        <v>45902</v>
      </c>
      <c r="L423" s="9" t="n">
        <f aca="false">K423-J423</f>
        <v>69</v>
      </c>
      <c r="M423" s="10" t="n">
        <v>198790.49</v>
      </c>
      <c r="N423" s="7" t="s">
        <v>131</v>
      </c>
      <c r="O423" s="7"/>
      <c r="P423" s="8" t="n">
        <v>45915</v>
      </c>
      <c r="Q423" s="7" t="n">
        <v>5</v>
      </c>
      <c r="R423" s="8" t="n">
        <f aca="false">EDATE(P423,Q423)</f>
        <v>46068</v>
      </c>
    </row>
    <row r="424" customFormat="false" ht="15" hidden="false" customHeight="false" outlineLevel="0" collapsed="false">
      <c r="A424" s="7" t="s">
        <v>907</v>
      </c>
      <c r="B424" s="7" t="s">
        <v>203</v>
      </c>
      <c r="C424" s="7" t="s">
        <v>204</v>
      </c>
      <c r="D424" s="7" t="s">
        <v>195</v>
      </c>
      <c r="E424" s="7" t="s">
        <v>94</v>
      </c>
      <c r="F424" s="7" t="s">
        <v>183</v>
      </c>
      <c r="G424" s="7" t="s">
        <v>184</v>
      </c>
      <c r="H424" s="7" t="s">
        <v>305</v>
      </c>
      <c r="I424" s="7" t="s">
        <v>306</v>
      </c>
      <c r="J424" s="8" t="n">
        <v>45763</v>
      </c>
      <c r="K424" s="8" t="n">
        <v>45903</v>
      </c>
      <c r="L424" s="9" t="n">
        <f aca="false">K424-J424</f>
        <v>140</v>
      </c>
      <c r="M424" s="10" t="n">
        <v>131660.42</v>
      </c>
      <c r="N424" s="7" t="s">
        <v>99</v>
      </c>
      <c r="O424" s="7" t="s">
        <v>124</v>
      </c>
      <c r="P424" s="7"/>
      <c r="Q424" s="7"/>
      <c r="R424" s="7"/>
    </row>
    <row r="425" customFormat="false" ht="15" hidden="false" customHeight="false" outlineLevel="0" collapsed="false">
      <c r="A425" s="7" t="s">
        <v>908</v>
      </c>
      <c r="B425" s="7" t="s">
        <v>769</v>
      </c>
      <c r="C425" s="7" t="s">
        <v>770</v>
      </c>
      <c r="D425" s="7" t="s">
        <v>114</v>
      </c>
      <c r="E425" s="7" t="s">
        <v>162</v>
      </c>
      <c r="F425" s="7" t="s">
        <v>136</v>
      </c>
      <c r="G425" s="7" t="s">
        <v>144</v>
      </c>
      <c r="H425" s="7" t="s">
        <v>231</v>
      </c>
      <c r="I425" s="7" t="s">
        <v>232</v>
      </c>
      <c r="J425" s="8" t="n">
        <v>45832</v>
      </c>
      <c r="K425" s="8" t="n">
        <v>45904</v>
      </c>
      <c r="L425" s="9" t="n">
        <f aca="false">K425-J425</f>
        <v>72</v>
      </c>
      <c r="M425" s="10" t="n">
        <v>156596.08</v>
      </c>
      <c r="N425" s="7" t="s">
        <v>131</v>
      </c>
      <c r="O425" s="7"/>
      <c r="P425" s="8" t="n">
        <v>45905</v>
      </c>
      <c r="Q425" s="7" t="n">
        <v>2</v>
      </c>
      <c r="R425" s="8" t="n">
        <f aca="false">EDATE(P425,Q425)</f>
        <v>45966</v>
      </c>
    </row>
    <row r="426" customFormat="false" ht="15" hidden="false" customHeight="false" outlineLevel="0" collapsed="false">
      <c r="A426" s="7" t="s">
        <v>909</v>
      </c>
      <c r="B426" s="7" t="s">
        <v>674</v>
      </c>
      <c r="C426" s="7" t="s">
        <v>675</v>
      </c>
      <c r="D426" s="7" t="s">
        <v>151</v>
      </c>
      <c r="E426" s="7" t="s">
        <v>105</v>
      </c>
      <c r="F426" s="7" t="s">
        <v>143</v>
      </c>
      <c r="G426" s="7" t="s">
        <v>137</v>
      </c>
      <c r="H426" s="7" t="s">
        <v>231</v>
      </c>
      <c r="I426" s="7" t="s">
        <v>232</v>
      </c>
      <c r="J426" s="8" t="n">
        <v>45801</v>
      </c>
      <c r="K426" s="8" t="n">
        <v>45905</v>
      </c>
      <c r="L426" s="9" t="n">
        <f aca="false">K426-J426</f>
        <v>104</v>
      </c>
      <c r="M426" s="10" t="n">
        <v>164738.85</v>
      </c>
      <c r="N426" s="7" t="s">
        <v>99</v>
      </c>
      <c r="O426" s="7" t="s">
        <v>147</v>
      </c>
      <c r="P426" s="7"/>
      <c r="Q426" s="7"/>
      <c r="R426" s="7"/>
    </row>
    <row r="427" customFormat="false" ht="15" hidden="false" customHeight="false" outlineLevel="0" collapsed="false">
      <c r="A427" s="7" t="s">
        <v>910</v>
      </c>
      <c r="B427" s="7" t="s">
        <v>717</v>
      </c>
      <c r="C427" s="7" t="s">
        <v>718</v>
      </c>
      <c r="D427" s="7" t="s">
        <v>114</v>
      </c>
      <c r="E427" s="7" t="s">
        <v>162</v>
      </c>
      <c r="F427" s="7" t="s">
        <v>157</v>
      </c>
      <c r="G427" s="7" t="s">
        <v>144</v>
      </c>
      <c r="H427" s="7" t="s">
        <v>138</v>
      </c>
      <c r="I427" s="7" t="s">
        <v>139</v>
      </c>
      <c r="J427" s="8" t="n">
        <v>45853</v>
      </c>
      <c r="K427" s="8" t="n">
        <v>45906</v>
      </c>
      <c r="L427" s="9" t="n">
        <f aca="false">K427-J427</f>
        <v>53</v>
      </c>
      <c r="M427" s="10" t="n">
        <v>56212.24</v>
      </c>
      <c r="N427" s="7" t="s">
        <v>131</v>
      </c>
      <c r="O427" s="7"/>
      <c r="P427" s="8" t="n">
        <v>45911</v>
      </c>
      <c r="Q427" s="7" t="n">
        <v>4</v>
      </c>
      <c r="R427" s="8" t="n">
        <f aca="false">EDATE(P427,Q427)</f>
        <v>46033</v>
      </c>
    </row>
    <row r="428" customFormat="false" ht="15" hidden="false" customHeight="false" outlineLevel="0" collapsed="false">
      <c r="A428" s="7" t="s">
        <v>911</v>
      </c>
      <c r="B428" s="7" t="s">
        <v>912</v>
      </c>
      <c r="C428" s="7" t="s">
        <v>913</v>
      </c>
      <c r="D428" s="7" t="s">
        <v>151</v>
      </c>
      <c r="E428" s="7" t="s">
        <v>94</v>
      </c>
      <c r="F428" s="7" t="s">
        <v>157</v>
      </c>
      <c r="G428" s="7" t="s">
        <v>117</v>
      </c>
      <c r="H428" s="7" t="s">
        <v>185</v>
      </c>
      <c r="I428" s="7" t="s">
        <v>186</v>
      </c>
      <c r="J428" s="8" t="n">
        <v>45845</v>
      </c>
      <c r="K428" s="8" t="n">
        <v>45906</v>
      </c>
      <c r="L428" s="9" t="n">
        <f aca="false">K428-J428</f>
        <v>61</v>
      </c>
      <c r="M428" s="10" t="n">
        <v>150286.12</v>
      </c>
      <c r="N428" s="7" t="s">
        <v>131</v>
      </c>
      <c r="O428" s="7"/>
      <c r="P428" s="8" t="n">
        <v>45923</v>
      </c>
      <c r="Q428" s="7" t="n">
        <v>5</v>
      </c>
      <c r="R428" s="8" t="n">
        <f aca="false">EDATE(P428,Q428)</f>
        <v>46076</v>
      </c>
    </row>
    <row r="429" customFormat="false" ht="15" hidden="false" customHeight="false" outlineLevel="0" collapsed="false">
      <c r="A429" s="7" t="s">
        <v>914</v>
      </c>
      <c r="B429" s="7" t="s">
        <v>315</v>
      </c>
      <c r="C429" s="7" t="s">
        <v>316</v>
      </c>
      <c r="D429" s="7" t="s">
        <v>195</v>
      </c>
      <c r="E429" s="7" t="s">
        <v>162</v>
      </c>
      <c r="F429" s="7" t="s">
        <v>136</v>
      </c>
      <c r="G429" s="7" t="s">
        <v>137</v>
      </c>
      <c r="H429" s="7" t="s">
        <v>305</v>
      </c>
      <c r="I429" s="7" t="s">
        <v>306</v>
      </c>
      <c r="J429" s="8" t="n">
        <v>45836</v>
      </c>
      <c r="K429" s="8" t="n">
        <v>45907</v>
      </c>
      <c r="L429" s="9" t="n">
        <f aca="false">K429-J429</f>
        <v>71</v>
      </c>
      <c r="M429" s="10" t="n">
        <v>204982.17</v>
      </c>
      <c r="N429" s="7" t="s">
        <v>99</v>
      </c>
      <c r="O429" s="7" t="s">
        <v>100</v>
      </c>
      <c r="P429" s="7"/>
      <c r="Q429" s="7"/>
      <c r="R429" s="7"/>
    </row>
    <row r="430" customFormat="false" ht="15" hidden="false" customHeight="false" outlineLevel="0" collapsed="false">
      <c r="A430" s="7" t="s">
        <v>915</v>
      </c>
      <c r="B430" s="7" t="s">
        <v>409</v>
      </c>
      <c r="C430" s="7" t="s">
        <v>410</v>
      </c>
      <c r="D430" s="7" t="s">
        <v>114</v>
      </c>
      <c r="E430" s="7" t="s">
        <v>94</v>
      </c>
      <c r="F430" s="7" t="s">
        <v>116</v>
      </c>
      <c r="G430" s="7" t="s">
        <v>137</v>
      </c>
      <c r="H430" s="7" t="s">
        <v>97</v>
      </c>
      <c r="I430" s="7" t="s">
        <v>98</v>
      </c>
      <c r="J430" s="8" t="n">
        <v>45842</v>
      </c>
      <c r="K430" s="8" t="n">
        <v>45908</v>
      </c>
      <c r="L430" s="9" t="n">
        <f aca="false">K430-J430</f>
        <v>66</v>
      </c>
      <c r="M430" s="10" t="n">
        <v>54865.95</v>
      </c>
      <c r="N430" s="7" t="s">
        <v>99</v>
      </c>
      <c r="O430" s="7" t="s">
        <v>219</v>
      </c>
      <c r="P430" s="7"/>
      <c r="Q430" s="7"/>
      <c r="R430" s="7"/>
    </row>
    <row r="431" customFormat="false" ht="15" hidden="false" customHeight="false" outlineLevel="0" collapsed="false">
      <c r="A431" s="7" t="s">
        <v>916</v>
      </c>
      <c r="B431" s="7" t="s">
        <v>237</v>
      </c>
      <c r="C431" s="7" t="s">
        <v>238</v>
      </c>
      <c r="D431" s="7" t="s">
        <v>195</v>
      </c>
      <c r="E431" s="7" t="s">
        <v>94</v>
      </c>
      <c r="F431" s="7" t="s">
        <v>136</v>
      </c>
      <c r="G431" s="7" t="s">
        <v>144</v>
      </c>
      <c r="H431" s="7" t="s">
        <v>270</v>
      </c>
      <c r="I431" s="7" t="s">
        <v>271</v>
      </c>
      <c r="J431" s="8" t="n">
        <v>45819</v>
      </c>
      <c r="K431" s="8" t="n">
        <v>45909</v>
      </c>
      <c r="L431" s="9" t="n">
        <f aca="false">K431-J431</f>
        <v>90</v>
      </c>
      <c r="M431" s="10" t="n">
        <v>185848.82</v>
      </c>
      <c r="N431" s="7" t="s">
        <v>99</v>
      </c>
      <c r="O431" s="7" t="s">
        <v>219</v>
      </c>
      <c r="P431" s="7"/>
      <c r="Q431" s="7"/>
      <c r="R431" s="7"/>
    </row>
    <row r="432" customFormat="false" ht="15" hidden="false" customHeight="false" outlineLevel="0" collapsed="false">
      <c r="A432" s="7" t="s">
        <v>917</v>
      </c>
      <c r="B432" s="7" t="s">
        <v>203</v>
      </c>
      <c r="C432" s="7" t="s">
        <v>204</v>
      </c>
      <c r="D432" s="7" t="s">
        <v>195</v>
      </c>
      <c r="E432" s="7" t="s">
        <v>94</v>
      </c>
      <c r="F432" s="7" t="s">
        <v>106</v>
      </c>
      <c r="G432" s="7" t="s">
        <v>176</v>
      </c>
      <c r="H432" s="7" t="s">
        <v>281</v>
      </c>
      <c r="I432" s="7" t="s">
        <v>282</v>
      </c>
      <c r="J432" s="8" t="n">
        <v>45847</v>
      </c>
      <c r="K432" s="8" t="n">
        <v>45909</v>
      </c>
      <c r="L432" s="9" t="n">
        <f aca="false">K432-J432</f>
        <v>62</v>
      </c>
      <c r="M432" s="10" t="n">
        <v>43066.82</v>
      </c>
      <c r="N432" s="7" t="s">
        <v>99</v>
      </c>
      <c r="O432" s="7" t="s">
        <v>219</v>
      </c>
      <c r="P432" s="7"/>
      <c r="Q432" s="7"/>
      <c r="R432" s="7"/>
    </row>
    <row r="433" customFormat="false" ht="15" hidden="false" customHeight="false" outlineLevel="0" collapsed="false">
      <c r="A433" s="7" t="s">
        <v>918</v>
      </c>
      <c r="B433" s="7" t="s">
        <v>919</v>
      </c>
      <c r="C433" s="7" t="s">
        <v>920</v>
      </c>
      <c r="D433" s="7" t="s">
        <v>114</v>
      </c>
      <c r="E433" s="7" t="s">
        <v>94</v>
      </c>
      <c r="F433" s="7" t="s">
        <v>106</v>
      </c>
      <c r="G433" s="7" t="s">
        <v>176</v>
      </c>
      <c r="H433" s="7" t="s">
        <v>171</v>
      </c>
      <c r="I433" s="7" t="s">
        <v>172</v>
      </c>
      <c r="J433" s="8" t="n">
        <v>45823</v>
      </c>
      <c r="K433" s="8" t="n">
        <v>45910</v>
      </c>
      <c r="L433" s="9" t="n">
        <f aca="false">K433-J433</f>
        <v>87</v>
      </c>
      <c r="M433" s="10" t="n">
        <v>84710.09</v>
      </c>
      <c r="N433" s="7" t="s">
        <v>131</v>
      </c>
      <c r="O433" s="7"/>
      <c r="P433" s="8" t="n">
        <v>45931</v>
      </c>
      <c r="Q433" s="7" t="n">
        <v>5</v>
      </c>
      <c r="R433" s="8" t="n">
        <f aca="false">EDATE(P433,Q433)</f>
        <v>46082</v>
      </c>
    </row>
    <row r="434" customFormat="false" ht="15" hidden="false" customHeight="false" outlineLevel="0" collapsed="false">
      <c r="A434" s="7" t="s">
        <v>921</v>
      </c>
      <c r="B434" s="7" t="s">
        <v>120</v>
      </c>
      <c r="C434" s="7" t="s">
        <v>121</v>
      </c>
      <c r="D434" s="7" t="s">
        <v>104</v>
      </c>
      <c r="E434" s="7" t="s">
        <v>105</v>
      </c>
      <c r="F434" s="7" t="s">
        <v>157</v>
      </c>
      <c r="G434" s="7" t="s">
        <v>107</v>
      </c>
      <c r="H434" s="7" t="s">
        <v>223</v>
      </c>
      <c r="I434" s="7" t="s">
        <v>224</v>
      </c>
      <c r="J434" s="8" t="n">
        <v>45834</v>
      </c>
      <c r="K434" s="8" t="n">
        <v>45910</v>
      </c>
      <c r="L434" s="9" t="n">
        <f aca="false">K434-J434</f>
        <v>76</v>
      </c>
      <c r="M434" s="10" t="n">
        <v>46908.38</v>
      </c>
      <c r="N434" s="7" t="s">
        <v>131</v>
      </c>
      <c r="O434" s="7"/>
      <c r="P434" s="8" t="n">
        <v>45917</v>
      </c>
      <c r="Q434" s="7" t="n">
        <v>4</v>
      </c>
      <c r="R434" s="8" t="n">
        <f aca="false">EDATE(P434,Q434)</f>
        <v>46039</v>
      </c>
    </row>
    <row r="435" customFormat="false" ht="15" hidden="false" customHeight="false" outlineLevel="0" collapsed="false">
      <c r="A435" s="7" t="s">
        <v>922</v>
      </c>
      <c r="B435" s="7" t="s">
        <v>923</v>
      </c>
      <c r="C435" s="7" t="s">
        <v>924</v>
      </c>
      <c r="D435" s="7" t="s">
        <v>104</v>
      </c>
      <c r="E435" s="7" t="s">
        <v>105</v>
      </c>
      <c r="F435" s="7" t="s">
        <v>95</v>
      </c>
      <c r="G435" s="7" t="s">
        <v>184</v>
      </c>
      <c r="H435" s="7" t="s">
        <v>152</v>
      </c>
      <c r="I435" s="7" t="s">
        <v>153</v>
      </c>
      <c r="J435" s="8" t="n">
        <v>45886</v>
      </c>
      <c r="K435" s="8" t="n">
        <v>45911</v>
      </c>
      <c r="L435" s="9" t="n">
        <f aca="false">K435-J435</f>
        <v>25</v>
      </c>
      <c r="M435" s="10" t="n">
        <v>102990.94</v>
      </c>
      <c r="N435" s="7" t="s">
        <v>99</v>
      </c>
      <c r="O435" s="7" t="s">
        <v>124</v>
      </c>
      <c r="P435" s="7"/>
      <c r="Q435" s="7"/>
      <c r="R435" s="7"/>
    </row>
    <row r="436" customFormat="false" ht="15" hidden="false" customHeight="false" outlineLevel="0" collapsed="false">
      <c r="A436" s="7" t="s">
        <v>925</v>
      </c>
      <c r="B436" s="7" t="s">
        <v>926</v>
      </c>
      <c r="C436" s="7" t="s">
        <v>927</v>
      </c>
      <c r="D436" s="7" t="s">
        <v>93</v>
      </c>
      <c r="E436" s="7" t="s">
        <v>115</v>
      </c>
      <c r="F436" s="7" t="s">
        <v>157</v>
      </c>
      <c r="G436" s="7" t="s">
        <v>144</v>
      </c>
      <c r="H436" s="7" t="s">
        <v>166</v>
      </c>
      <c r="I436" s="7" t="s">
        <v>167</v>
      </c>
      <c r="J436" s="8" t="n">
        <v>45836</v>
      </c>
      <c r="K436" s="8" t="n">
        <v>45915</v>
      </c>
      <c r="L436" s="9" t="n">
        <f aca="false">K436-J436</f>
        <v>79</v>
      </c>
      <c r="M436" s="10" t="n">
        <v>144062.48</v>
      </c>
      <c r="N436" s="7" t="s">
        <v>131</v>
      </c>
      <c r="O436" s="7"/>
      <c r="P436" s="8" t="n">
        <v>45925</v>
      </c>
      <c r="Q436" s="7" t="n">
        <v>4</v>
      </c>
      <c r="R436" s="8" t="n">
        <f aca="false">EDATE(P436,Q436)</f>
        <v>46047</v>
      </c>
    </row>
    <row r="437" customFormat="false" ht="15" hidden="false" customHeight="false" outlineLevel="0" collapsed="false">
      <c r="A437" s="7" t="s">
        <v>928</v>
      </c>
      <c r="B437" s="7" t="s">
        <v>929</v>
      </c>
      <c r="C437" s="7" t="s">
        <v>930</v>
      </c>
      <c r="D437" s="7" t="s">
        <v>151</v>
      </c>
      <c r="E437" s="7" t="s">
        <v>115</v>
      </c>
      <c r="F437" s="7" t="s">
        <v>143</v>
      </c>
      <c r="G437" s="7" t="s">
        <v>144</v>
      </c>
      <c r="H437" s="7" t="s">
        <v>270</v>
      </c>
      <c r="I437" s="7" t="s">
        <v>271</v>
      </c>
      <c r="J437" s="8" t="n">
        <v>45882</v>
      </c>
      <c r="K437" s="8" t="n">
        <v>45916</v>
      </c>
      <c r="L437" s="9" t="n">
        <f aca="false">K437-J437</f>
        <v>34</v>
      </c>
      <c r="M437" s="10" t="n">
        <v>102978.39</v>
      </c>
      <c r="N437" s="7" t="s">
        <v>99</v>
      </c>
      <c r="O437" s="7" t="s">
        <v>147</v>
      </c>
      <c r="P437" s="7"/>
      <c r="Q437" s="7"/>
      <c r="R437" s="7"/>
    </row>
    <row r="438" customFormat="false" ht="15" hidden="false" customHeight="false" outlineLevel="0" collapsed="false">
      <c r="A438" s="7" t="s">
        <v>931</v>
      </c>
      <c r="B438" s="7" t="s">
        <v>724</v>
      </c>
      <c r="C438" s="7" t="s">
        <v>725</v>
      </c>
      <c r="D438" s="7" t="s">
        <v>195</v>
      </c>
      <c r="E438" s="7" t="s">
        <v>115</v>
      </c>
      <c r="F438" s="7" t="s">
        <v>183</v>
      </c>
      <c r="G438" s="7" t="s">
        <v>117</v>
      </c>
      <c r="H438" s="7" t="s">
        <v>190</v>
      </c>
      <c r="I438" s="7" t="s">
        <v>191</v>
      </c>
      <c r="J438" s="8" t="n">
        <v>45862</v>
      </c>
      <c r="K438" s="8" t="n">
        <v>45916</v>
      </c>
      <c r="L438" s="9" t="n">
        <f aca="false">K438-J438</f>
        <v>54</v>
      </c>
      <c r="M438" s="10" t="n">
        <v>109579.73</v>
      </c>
      <c r="N438" s="7" t="s">
        <v>99</v>
      </c>
      <c r="O438" s="7" t="s">
        <v>110</v>
      </c>
      <c r="P438" s="7"/>
      <c r="Q438" s="7"/>
      <c r="R438" s="7"/>
    </row>
    <row r="439" customFormat="false" ht="15" hidden="false" customHeight="false" outlineLevel="0" collapsed="false">
      <c r="A439" s="7" t="s">
        <v>932</v>
      </c>
      <c r="B439" s="7" t="s">
        <v>226</v>
      </c>
      <c r="C439" s="7" t="s">
        <v>227</v>
      </c>
      <c r="D439" s="7" t="s">
        <v>93</v>
      </c>
      <c r="E439" s="7" t="s">
        <v>105</v>
      </c>
      <c r="F439" s="7" t="s">
        <v>106</v>
      </c>
      <c r="G439" s="7" t="s">
        <v>96</v>
      </c>
      <c r="H439" s="7" t="s">
        <v>145</v>
      </c>
      <c r="I439" s="7" t="s">
        <v>146</v>
      </c>
      <c r="J439" s="8" t="n">
        <v>45827</v>
      </c>
      <c r="K439" s="8" t="n">
        <v>45917</v>
      </c>
      <c r="L439" s="9" t="n">
        <f aca="false">K439-J439</f>
        <v>90</v>
      </c>
      <c r="M439" s="10" t="n">
        <v>289764.84</v>
      </c>
      <c r="N439" s="7" t="s">
        <v>131</v>
      </c>
      <c r="O439" s="7"/>
      <c r="P439" s="8" t="n">
        <v>45920</v>
      </c>
      <c r="Q439" s="7" t="n">
        <v>5</v>
      </c>
      <c r="R439" s="8" t="n">
        <f aca="false">EDATE(P439,Q439)</f>
        <v>46073</v>
      </c>
    </row>
    <row r="440" customFormat="false" ht="15" hidden="false" customHeight="false" outlineLevel="0" collapsed="false">
      <c r="A440" s="7" t="s">
        <v>933</v>
      </c>
      <c r="B440" s="7" t="s">
        <v>569</v>
      </c>
      <c r="C440" s="7" t="s">
        <v>570</v>
      </c>
      <c r="D440" s="7" t="s">
        <v>242</v>
      </c>
      <c r="E440" s="7" t="s">
        <v>162</v>
      </c>
      <c r="F440" s="7" t="s">
        <v>136</v>
      </c>
      <c r="G440" s="7" t="s">
        <v>137</v>
      </c>
      <c r="H440" s="7" t="s">
        <v>177</v>
      </c>
      <c r="I440" s="7" t="s">
        <v>178</v>
      </c>
      <c r="J440" s="8" t="n">
        <v>45841</v>
      </c>
      <c r="K440" s="8" t="n">
        <v>45917</v>
      </c>
      <c r="L440" s="9" t="n">
        <f aca="false">K440-J440</f>
        <v>76</v>
      </c>
      <c r="M440" s="10" t="n">
        <v>61757.61</v>
      </c>
      <c r="N440" s="7" t="s">
        <v>131</v>
      </c>
      <c r="O440" s="7"/>
      <c r="P440" s="8" t="n">
        <v>45927</v>
      </c>
      <c r="Q440" s="7" t="n">
        <v>3</v>
      </c>
      <c r="R440" s="8" t="n">
        <f aca="false">EDATE(P440,Q440)</f>
        <v>46018</v>
      </c>
    </row>
    <row r="441" customFormat="false" ht="15" hidden="false" customHeight="false" outlineLevel="0" collapsed="false">
      <c r="A441" s="7" t="s">
        <v>934</v>
      </c>
      <c r="B441" s="7" t="s">
        <v>501</v>
      </c>
      <c r="C441" s="7" t="s">
        <v>502</v>
      </c>
      <c r="D441" s="7" t="s">
        <v>135</v>
      </c>
      <c r="E441" s="7" t="s">
        <v>115</v>
      </c>
      <c r="F441" s="7" t="s">
        <v>136</v>
      </c>
      <c r="G441" s="7" t="s">
        <v>117</v>
      </c>
      <c r="H441" s="7" t="s">
        <v>108</v>
      </c>
      <c r="I441" s="7" t="s">
        <v>109</v>
      </c>
      <c r="J441" s="8" t="n">
        <v>45831</v>
      </c>
      <c r="K441" s="8" t="n">
        <v>45918</v>
      </c>
      <c r="L441" s="9" t="n">
        <f aca="false">K441-J441</f>
        <v>87</v>
      </c>
      <c r="M441" s="10" t="n">
        <v>145351.11</v>
      </c>
      <c r="N441" s="7" t="s">
        <v>99</v>
      </c>
      <c r="O441" s="7" t="s">
        <v>110</v>
      </c>
      <c r="P441" s="7"/>
      <c r="Q441" s="7"/>
      <c r="R441" s="7"/>
    </row>
    <row r="442" customFormat="false" ht="15" hidden="false" customHeight="false" outlineLevel="0" collapsed="false">
      <c r="A442" s="7" t="s">
        <v>935</v>
      </c>
      <c r="B442" s="7" t="s">
        <v>160</v>
      </c>
      <c r="C442" s="7" t="s">
        <v>161</v>
      </c>
      <c r="D442" s="7" t="s">
        <v>151</v>
      </c>
      <c r="E442" s="7" t="s">
        <v>162</v>
      </c>
      <c r="F442" s="7" t="s">
        <v>157</v>
      </c>
      <c r="G442" s="7" t="s">
        <v>144</v>
      </c>
      <c r="H442" s="7" t="s">
        <v>185</v>
      </c>
      <c r="I442" s="7" t="s">
        <v>186</v>
      </c>
      <c r="J442" s="8" t="n">
        <v>45839</v>
      </c>
      <c r="K442" s="8" t="n">
        <v>45919</v>
      </c>
      <c r="L442" s="9" t="n">
        <f aca="false">K442-J442</f>
        <v>80</v>
      </c>
      <c r="M442" s="10" t="n">
        <v>95348.81</v>
      </c>
      <c r="N442" s="7" t="s">
        <v>99</v>
      </c>
      <c r="O442" s="7" t="s">
        <v>124</v>
      </c>
      <c r="P442" s="7"/>
      <c r="Q442" s="7"/>
      <c r="R442" s="7"/>
    </row>
    <row r="443" customFormat="false" ht="15" hidden="false" customHeight="false" outlineLevel="0" collapsed="false">
      <c r="A443" s="7" t="s">
        <v>936</v>
      </c>
      <c r="B443" s="7" t="s">
        <v>284</v>
      </c>
      <c r="C443" s="7" t="s">
        <v>285</v>
      </c>
      <c r="D443" s="7" t="s">
        <v>201</v>
      </c>
      <c r="E443" s="7" t="s">
        <v>105</v>
      </c>
      <c r="F443" s="7" t="s">
        <v>136</v>
      </c>
      <c r="G443" s="7" t="s">
        <v>107</v>
      </c>
      <c r="H443" s="7" t="s">
        <v>138</v>
      </c>
      <c r="I443" s="7" t="s">
        <v>139</v>
      </c>
      <c r="J443" s="8" t="n">
        <v>45800</v>
      </c>
      <c r="K443" s="8" t="n">
        <v>45919</v>
      </c>
      <c r="L443" s="9" t="n">
        <f aca="false">K443-J443</f>
        <v>119</v>
      </c>
      <c r="M443" s="10" t="n">
        <v>90052.9</v>
      </c>
      <c r="N443" s="7" t="s">
        <v>131</v>
      </c>
      <c r="O443" s="7"/>
      <c r="P443" s="8" t="n">
        <v>45934</v>
      </c>
      <c r="Q443" s="7" t="n">
        <v>3</v>
      </c>
      <c r="R443" s="8" t="n">
        <f aca="false">EDATE(P443,Q443)</f>
        <v>46026</v>
      </c>
    </row>
    <row r="444" customFormat="false" ht="15" hidden="false" customHeight="false" outlineLevel="0" collapsed="false">
      <c r="A444" s="7" t="s">
        <v>937</v>
      </c>
      <c r="B444" s="7" t="s">
        <v>126</v>
      </c>
      <c r="C444" s="7" t="s">
        <v>127</v>
      </c>
      <c r="D444" s="7" t="s">
        <v>104</v>
      </c>
      <c r="E444" s="7" t="s">
        <v>105</v>
      </c>
      <c r="F444" s="7" t="s">
        <v>136</v>
      </c>
      <c r="G444" s="7" t="s">
        <v>137</v>
      </c>
      <c r="H444" s="7" t="s">
        <v>180</v>
      </c>
      <c r="I444" s="7" t="s">
        <v>181</v>
      </c>
      <c r="J444" s="8" t="n">
        <v>45857</v>
      </c>
      <c r="K444" s="8" t="n">
        <v>45920</v>
      </c>
      <c r="L444" s="9" t="n">
        <f aca="false">K444-J444</f>
        <v>63</v>
      </c>
      <c r="M444" s="10" t="n">
        <v>48628.1</v>
      </c>
      <c r="N444" s="7" t="s">
        <v>99</v>
      </c>
      <c r="O444" s="7" t="s">
        <v>147</v>
      </c>
      <c r="P444" s="7"/>
      <c r="Q444" s="7"/>
      <c r="R444" s="7"/>
    </row>
    <row r="445" customFormat="false" ht="15" hidden="false" customHeight="false" outlineLevel="0" collapsed="false">
      <c r="A445" s="7" t="s">
        <v>938</v>
      </c>
      <c r="B445" s="7" t="s">
        <v>467</v>
      </c>
      <c r="C445" s="7" t="s">
        <v>468</v>
      </c>
      <c r="D445" s="7" t="s">
        <v>93</v>
      </c>
      <c r="E445" s="7" t="s">
        <v>162</v>
      </c>
      <c r="F445" s="7" t="s">
        <v>143</v>
      </c>
      <c r="G445" s="7" t="s">
        <v>184</v>
      </c>
      <c r="H445" s="7" t="s">
        <v>281</v>
      </c>
      <c r="I445" s="7" t="s">
        <v>282</v>
      </c>
      <c r="J445" s="8" t="n">
        <v>45840</v>
      </c>
      <c r="K445" s="8" t="n">
        <v>45920</v>
      </c>
      <c r="L445" s="9" t="n">
        <f aca="false">K445-J445</f>
        <v>80</v>
      </c>
      <c r="M445" s="10" t="n">
        <v>134660.27</v>
      </c>
      <c r="N445" s="7" t="s">
        <v>99</v>
      </c>
      <c r="O445" s="7" t="s">
        <v>118</v>
      </c>
      <c r="P445" s="7"/>
      <c r="Q445" s="7"/>
      <c r="R445" s="7"/>
    </row>
    <row r="446" customFormat="false" ht="15" hidden="false" customHeight="false" outlineLevel="0" collapsed="false">
      <c r="A446" s="7" t="s">
        <v>939</v>
      </c>
      <c r="B446" s="7" t="s">
        <v>226</v>
      </c>
      <c r="C446" s="7" t="s">
        <v>227</v>
      </c>
      <c r="D446" s="7" t="s">
        <v>93</v>
      </c>
      <c r="E446" s="7" t="s">
        <v>105</v>
      </c>
      <c r="F446" s="7" t="s">
        <v>128</v>
      </c>
      <c r="G446" s="7" t="s">
        <v>107</v>
      </c>
      <c r="H446" s="7" t="s">
        <v>177</v>
      </c>
      <c r="I446" s="7" t="s">
        <v>178</v>
      </c>
      <c r="J446" s="8" t="n">
        <v>45859</v>
      </c>
      <c r="K446" s="8" t="n">
        <v>45922</v>
      </c>
      <c r="L446" s="9" t="n">
        <f aca="false">K446-J446</f>
        <v>63</v>
      </c>
      <c r="M446" s="10" t="n">
        <v>149703.39</v>
      </c>
      <c r="N446" s="7" t="s">
        <v>99</v>
      </c>
      <c r="O446" s="7" t="s">
        <v>100</v>
      </c>
      <c r="P446" s="7"/>
      <c r="Q446" s="7"/>
      <c r="R446" s="7"/>
    </row>
    <row r="447" customFormat="false" ht="15" hidden="false" customHeight="false" outlineLevel="0" collapsed="false">
      <c r="A447" s="7" t="s">
        <v>940</v>
      </c>
      <c r="B447" s="7" t="s">
        <v>592</v>
      </c>
      <c r="C447" s="7" t="s">
        <v>593</v>
      </c>
      <c r="D447" s="7" t="s">
        <v>114</v>
      </c>
      <c r="E447" s="7" t="s">
        <v>162</v>
      </c>
      <c r="F447" s="7" t="s">
        <v>106</v>
      </c>
      <c r="G447" s="7" t="s">
        <v>117</v>
      </c>
      <c r="H447" s="7" t="s">
        <v>152</v>
      </c>
      <c r="I447" s="7" t="s">
        <v>153</v>
      </c>
      <c r="J447" s="8" t="n">
        <v>45864</v>
      </c>
      <c r="K447" s="8" t="n">
        <v>45924</v>
      </c>
      <c r="L447" s="9" t="n">
        <f aca="false">K447-J447</f>
        <v>60</v>
      </c>
      <c r="M447" s="10" t="n">
        <v>81719.95</v>
      </c>
      <c r="N447" s="7" t="s">
        <v>99</v>
      </c>
      <c r="O447" s="7" t="s">
        <v>124</v>
      </c>
      <c r="P447" s="7"/>
      <c r="Q447" s="7"/>
      <c r="R447" s="7"/>
    </row>
    <row r="448" customFormat="false" ht="15" hidden="false" customHeight="false" outlineLevel="0" collapsed="false">
      <c r="A448" s="7" t="s">
        <v>941</v>
      </c>
      <c r="B448" s="7" t="s">
        <v>418</v>
      </c>
      <c r="C448" s="7" t="s">
        <v>419</v>
      </c>
      <c r="D448" s="7" t="s">
        <v>93</v>
      </c>
      <c r="E448" s="7" t="s">
        <v>115</v>
      </c>
      <c r="F448" s="7" t="s">
        <v>95</v>
      </c>
      <c r="G448" s="7" t="s">
        <v>184</v>
      </c>
      <c r="H448" s="7" t="s">
        <v>223</v>
      </c>
      <c r="I448" s="7" t="s">
        <v>224</v>
      </c>
      <c r="J448" s="8" t="n">
        <v>45839</v>
      </c>
      <c r="K448" s="8" t="n">
        <v>45925</v>
      </c>
      <c r="L448" s="9" t="n">
        <f aca="false">K448-J448</f>
        <v>86</v>
      </c>
      <c r="M448" s="10" t="n">
        <v>106797.08</v>
      </c>
      <c r="N448" s="7" t="s">
        <v>99</v>
      </c>
      <c r="O448" s="7" t="s">
        <v>100</v>
      </c>
      <c r="P448" s="7"/>
      <c r="Q448" s="7"/>
      <c r="R448" s="7"/>
    </row>
    <row r="449" customFormat="false" ht="15" hidden="false" customHeight="false" outlineLevel="0" collapsed="false">
      <c r="A449" s="7" t="s">
        <v>942</v>
      </c>
      <c r="B449" s="7" t="s">
        <v>943</v>
      </c>
      <c r="C449" s="7" t="s">
        <v>944</v>
      </c>
      <c r="D449" s="7" t="s">
        <v>151</v>
      </c>
      <c r="E449" s="7" t="s">
        <v>94</v>
      </c>
      <c r="F449" s="7" t="s">
        <v>157</v>
      </c>
      <c r="G449" s="7" t="s">
        <v>117</v>
      </c>
      <c r="H449" s="7" t="s">
        <v>177</v>
      </c>
      <c r="I449" s="7" t="s">
        <v>178</v>
      </c>
      <c r="J449" s="8" t="n">
        <v>45834</v>
      </c>
      <c r="K449" s="8" t="n">
        <v>45929</v>
      </c>
      <c r="L449" s="9" t="n">
        <f aca="false">K449-J449</f>
        <v>95</v>
      </c>
      <c r="M449" s="10" t="n">
        <v>175876.51</v>
      </c>
      <c r="N449" s="7" t="s">
        <v>99</v>
      </c>
      <c r="O449" s="7" t="s">
        <v>147</v>
      </c>
      <c r="P449" s="7"/>
      <c r="Q449" s="7"/>
      <c r="R449" s="7"/>
    </row>
    <row r="450" customFormat="false" ht="15" hidden="false" customHeight="false" outlineLevel="0" collapsed="false">
      <c r="A450" s="7" t="s">
        <v>945</v>
      </c>
      <c r="B450" s="7" t="s">
        <v>780</v>
      </c>
      <c r="C450" s="7" t="s">
        <v>781</v>
      </c>
      <c r="D450" s="7" t="s">
        <v>114</v>
      </c>
      <c r="E450" s="7" t="s">
        <v>105</v>
      </c>
      <c r="F450" s="7" t="s">
        <v>136</v>
      </c>
      <c r="G450" s="7" t="s">
        <v>107</v>
      </c>
      <c r="H450" s="7" t="s">
        <v>223</v>
      </c>
      <c r="I450" s="7" t="s">
        <v>224</v>
      </c>
      <c r="J450" s="8" t="n">
        <v>45840</v>
      </c>
      <c r="K450" s="8" t="n">
        <v>45929</v>
      </c>
      <c r="L450" s="9" t="n">
        <f aca="false">K450-J450</f>
        <v>89</v>
      </c>
      <c r="M450" s="10" t="n">
        <v>148850.38</v>
      </c>
      <c r="N450" s="7" t="s">
        <v>131</v>
      </c>
      <c r="O450" s="7"/>
      <c r="P450" s="8" t="n">
        <v>45946</v>
      </c>
      <c r="Q450" s="7" t="n">
        <v>3</v>
      </c>
      <c r="R450" s="8" t="n">
        <f aca="false">EDATE(P450,Q450)</f>
        <v>46038</v>
      </c>
    </row>
    <row r="451" customFormat="false" ht="15" hidden="false" customHeight="false" outlineLevel="0" collapsed="false">
      <c r="A451" s="7" t="s">
        <v>946</v>
      </c>
      <c r="B451" s="7" t="s">
        <v>845</v>
      </c>
      <c r="C451" s="7" t="s">
        <v>846</v>
      </c>
      <c r="D451" s="7" t="s">
        <v>93</v>
      </c>
      <c r="E451" s="7" t="s">
        <v>162</v>
      </c>
      <c r="F451" s="7" t="s">
        <v>116</v>
      </c>
      <c r="G451" s="7" t="s">
        <v>107</v>
      </c>
      <c r="H451" s="7" t="s">
        <v>196</v>
      </c>
      <c r="I451" s="7" t="s">
        <v>197</v>
      </c>
      <c r="J451" s="8" t="n">
        <v>45833</v>
      </c>
      <c r="K451" s="8" t="n">
        <v>45929</v>
      </c>
      <c r="L451" s="9" t="n">
        <f aca="false">K451-J451</f>
        <v>96</v>
      </c>
      <c r="M451" s="10" t="n">
        <v>207834.12</v>
      </c>
      <c r="N451" s="7" t="s">
        <v>131</v>
      </c>
      <c r="O451" s="7"/>
      <c r="P451" s="8" t="n">
        <v>45939</v>
      </c>
      <c r="Q451" s="7" t="n">
        <v>8</v>
      </c>
      <c r="R451" s="8" t="n">
        <f aca="false">EDATE(P451,Q451)</f>
        <v>46182</v>
      </c>
    </row>
    <row r="452" customFormat="false" ht="15" hidden="false" customHeight="false" outlineLevel="0" collapsed="false">
      <c r="A452" s="7" t="s">
        <v>947</v>
      </c>
      <c r="B452" s="7" t="s">
        <v>234</v>
      </c>
      <c r="C452" s="7" t="s">
        <v>235</v>
      </c>
      <c r="D452" s="7" t="s">
        <v>114</v>
      </c>
      <c r="E452" s="7" t="s">
        <v>115</v>
      </c>
      <c r="F452" s="7" t="s">
        <v>106</v>
      </c>
      <c r="G452" s="7" t="s">
        <v>176</v>
      </c>
      <c r="H452" s="7" t="s">
        <v>166</v>
      </c>
      <c r="I452" s="7" t="s">
        <v>167</v>
      </c>
      <c r="J452" s="8" t="n">
        <v>45823</v>
      </c>
      <c r="K452" s="8" t="n">
        <v>45930</v>
      </c>
      <c r="L452" s="9" t="n">
        <f aca="false">K452-J452</f>
        <v>107</v>
      </c>
      <c r="M452" s="10" t="n">
        <v>95033.06</v>
      </c>
      <c r="N452" s="7" t="s">
        <v>99</v>
      </c>
      <c r="O452" s="7" t="s">
        <v>118</v>
      </c>
      <c r="P452" s="7"/>
      <c r="Q452" s="7"/>
      <c r="R452" s="7"/>
    </row>
    <row r="453" customFormat="false" ht="15" hidden="false" customHeight="false" outlineLevel="0" collapsed="false">
      <c r="A453" s="7" t="s">
        <v>948</v>
      </c>
      <c r="B453" s="7" t="s">
        <v>517</v>
      </c>
      <c r="C453" s="7" t="s">
        <v>518</v>
      </c>
      <c r="D453" s="7" t="s">
        <v>151</v>
      </c>
      <c r="E453" s="7" t="s">
        <v>115</v>
      </c>
      <c r="F453" s="7" t="s">
        <v>128</v>
      </c>
      <c r="G453" s="7" t="s">
        <v>96</v>
      </c>
      <c r="H453" s="7" t="s">
        <v>196</v>
      </c>
      <c r="I453" s="7" t="s">
        <v>197</v>
      </c>
      <c r="J453" s="8" t="n">
        <v>45828</v>
      </c>
      <c r="K453" s="8" t="n">
        <v>45931</v>
      </c>
      <c r="L453" s="9" t="n">
        <f aca="false">K453-J453</f>
        <v>103</v>
      </c>
      <c r="M453" s="10" t="n">
        <v>91437.36</v>
      </c>
      <c r="N453" s="7" t="s">
        <v>131</v>
      </c>
      <c r="O453" s="7"/>
      <c r="P453" s="8" t="n">
        <v>45945</v>
      </c>
      <c r="Q453" s="7" t="n">
        <v>2</v>
      </c>
      <c r="R453" s="8" t="n">
        <f aca="false">EDATE(P453,Q453)</f>
        <v>46006</v>
      </c>
    </row>
    <row r="454" customFormat="false" ht="15" hidden="false" customHeight="false" outlineLevel="0" collapsed="false">
      <c r="A454" s="7" t="s">
        <v>949</v>
      </c>
      <c r="B454" s="7" t="s">
        <v>950</v>
      </c>
      <c r="C454" s="7" t="s">
        <v>951</v>
      </c>
      <c r="D454" s="7" t="s">
        <v>114</v>
      </c>
      <c r="E454" s="7" t="s">
        <v>94</v>
      </c>
      <c r="F454" s="7" t="s">
        <v>95</v>
      </c>
      <c r="G454" s="7" t="s">
        <v>137</v>
      </c>
      <c r="H454" s="7" t="s">
        <v>97</v>
      </c>
      <c r="I454" s="7" t="s">
        <v>98</v>
      </c>
      <c r="J454" s="8" t="n">
        <v>45862</v>
      </c>
      <c r="K454" s="8" t="n">
        <v>45931</v>
      </c>
      <c r="L454" s="9" t="n">
        <f aca="false">K454-J454</f>
        <v>69</v>
      </c>
      <c r="M454" s="10" t="n">
        <v>117424.05</v>
      </c>
      <c r="N454" s="7" t="s">
        <v>99</v>
      </c>
      <c r="O454" s="7" t="s">
        <v>118</v>
      </c>
      <c r="P454" s="7"/>
      <c r="Q454" s="7"/>
      <c r="R454" s="7"/>
    </row>
    <row r="455" customFormat="false" ht="15" hidden="false" customHeight="false" outlineLevel="0" collapsed="false">
      <c r="A455" s="7" t="s">
        <v>952</v>
      </c>
      <c r="B455" s="7" t="s">
        <v>318</v>
      </c>
      <c r="C455" s="7" t="s">
        <v>319</v>
      </c>
      <c r="D455" s="7" t="s">
        <v>114</v>
      </c>
      <c r="E455" s="7" t="s">
        <v>94</v>
      </c>
      <c r="F455" s="7" t="s">
        <v>157</v>
      </c>
      <c r="G455" s="7" t="s">
        <v>107</v>
      </c>
      <c r="H455" s="7" t="s">
        <v>213</v>
      </c>
      <c r="I455" s="7" t="s">
        <v>214</v>
      </c>
      <c r="J455" s="8" t="n">
        <v>45854</v>
      </c>
      <c r="K455" s="8" t="n">
        <v>45936</v>
      </c>
      <c r="L455" s="9" t="n">
        <f aca="false">K455-J455</f>
        <v>82</v>
      </c>
      <c r="M455" s="10" t="n">
        <v>74083.91</v>
      </c>
      <c r="N455" s="7" t="s">
        <v>131</v>
      </c>
      <c r="O455" s="7"/>
      <c r="P455" s="8" t="n">
        <v>45948</v>
      </c>
      <c r="Q455" s="7" t="n">
        <v>4</v>
      </c>
      <c r="R455" s="8" t="n">
        <f aca="false">EDATE(P455,Q455)</f>
        <v>46071</v>
      </c>
    </row>
    <row r="456" customFormat="false" ht="15" hidden="false" customHeight="false" outlineLevel="0" collapsed="false">
      <c r="A456" s="7" t="s">
        <v>953</v>
      </c>
      <c r="B456" s="7" t="s">
        <v>757</v>
      </c>
      <c r="C456" s="7" t="s">
        <v>758</v>
      </c>
      <c r="D456" s="7" t="s">
        <v>151</v>
      </c>
      <c r="E456" s="7" t="s">
        <v>105</v>
      </c>
      <c r="F456" s="7" t="s">
        <v>143</v>
      </c>
      <c r="G456" s="7" t="s">
        <v>184</v>
      </c>
      <c r="H456" s="7" t="s">
        <v>258</v>
      </c>
      <c r="I456" s="7" t="s">
        <v>259</v>
      </c>
      <c r="J456" s="8" t="n">
        <v>45875</v>
      </c>
      <c r="K456" s="8" t="n">
        <v>45936</v>
      </c>
      <c r="L456" s="9" t="n">
        <f aca="false">K456-J456</f>
        <v>61</v>
      </c>
      <c r="M456" s="10" t="n">
        <v>100582.18</v>
      </c>
      <c r="N456" s="7" t="s">
        <v>99</v>
      </c>
      <c r="O456" s="7" t="s">
        <v>100</v>
      </c>
      <c r="P456" s="7"/>
      <c r="Q456" s="7"/>
      <c r="R456" s="7"/>
    </row>
    <row r="457" customFormat="false" ht="15" hidden="false" customHeight="false" outlineLevel="0" collapsed="false">
      <c r="A457" s="7" t="s">
        <v>954</v>
      </c>
      <c r="B457" s="7" t="s">
        <v>330</v>
      </c>
      <c r="C457" s="7" t="s">
        <v>331</v>
      </c>
      <c r="D457" s="7" t="s">
        <v>242</v>
      </c>
      <c r="E457" s="7" t="s">
        <v>162</v>
      </c>
      <c r="F457" s="7" t="s">
        <v>116</v>
      </c>
      <c r="G457" s="7" t="s">
        <v>137</v>
      </c>
      <c r="H457" s="7" t="s">
        <v>190</v>
      </c>
      <c r="I457" s="7" t="s">
        <v>191</v>
      </c>
      <c r="J457" s="8" t="n">
        <v>45826</v>
      </c>
      <c r="K457" s="8" t="n">
        <v>45937</v>
      </c>
      <c r="L457" s="9" t="n">
        <f aca="false">K457-J457</f>
        <v>111</v>
      </c>
      <c r="M457" s="10" t="n">
        <v>335166.44</v>
      </c>
      <c r="N457" s="7" t="s">
        <v>99</v>
      </c>
      <c r="O457" s="7" t="s">
        <v>124</v>
      </c>
      <c r="P457" s="7"/>
      <c r="Q457" s="7"/>
      <c r="R457" s="7"/>
    </row>
    <row r="458" customFormat="false" ht="15" hidden="false" customHeight="false" outlineLevel="0" collapsed="false">
      <c r="A458" s="7" t="s">
        <v>955</v>
      </c>
      <c r="B458" s="7" t="s">
        <v>334</v>
      </c>
      <c r="C458" s="7" t="s">
        <v>335</v>
      </c>
      <c r="D458" s="7" t="s">
        <v>242</v>
      </c>
      <c r="E458" s="7" t="s">
        <v>162</v>
      </c>
      <c r="F458" s="7" t="s">
        <v>116</v>
      </c>
      <c r="G458" s="7" t="s">
        <v>137</v>
      </c>
      <c r="H458" s="7" t="s">
        <v>190</v>
      </c>
      <c r="I458" s="7" t="s">
        <v>191</v>
      </c>
      <c r="J458" s="8" t="n">
        <v>45881</v>
      </c>
      <c r="K458" s="8" t="n">
        <v>45937</v>
      </c>
      <c r="L458" s="9" t="n">
        <f aca="false">K458-J458</f>
        <v>56</v>
      </c>
      <c r="M458" s="10" t="n">
        <v>213457.33</v>
      </c>
      <c r="N458" s="7" t="s">
        <v>131</v>
      </c>
      <c r="O458" s="7"/>
      <c r="P458" s="8" t="n">
        <v>45943</v>
      </c>
      <c r="Q458" s="7" t="n">
        <v>8</v>
      </c>
      <c r="R458" s="8" t="n">
        <f aca="false">EDATE(P458,Q458)</f>
        <v>46186</v>
      </c>
    </row>
    <row r="459" customFormat="false" ht="15" hidden="false" customHeight="false" outlineLevel="0" collapsed="false">
      <c r="A459" s="7" t="s">
        <v>956</v>
      </c>
      <c r="B459" s="7" t="s">
        <v>440</v>
      </c>
      <c r="C459" s="7" t="s">
        <v>441</v>
      </c>
      <c r="D459" s="7" t="s">
        <v>114</v>
      </c>
      <c r="E459" s="7" t="s">
        <v>94</v>
      </c>
      <c r="F459" s="7" t="s">
        <v>143</v>
      </c>
      <c r="G459" s="7" t="s">
        <v>137</v>
      </c>
      <c r="H459" s="7" t="s">
        <v>305</v>
      </c>
      <c r="I459" s="7" t="s">
        <v>306</v>
      </c>
      <c r="J459" s="8" t="n">
        <v>45862</v>
      </c>
      <c r="K459" s="8" t="n">
        <v>45938</v>
      </c>
      <c r="L459" s="9" t="n">
        <f aca="false">K459-J459</f>
        <v>76</v>
      </c>
      <c r="M459" s="10" t="n">
        <v>85952.72</v>
      </c>
      <c r="N459" s="7" t="s">
        <v>99</v>
      </c>
      <c r="O459" s="7" t="s">
        <v>110</v>
      </c>
      <c r="P459" s="7"/>
      <c r="Q459" s="7"/>
      <c r="R459" s="7"/>
    </row>
    <row r="460" customFormat="false" ht="15" hidden="false" customHeight="false" outlineLevel="0" collapsed="false">
      <c r="A460" s="7" t="s">
        <v>957</v>
      </c>
      <c r="B460" s="7" t="s">
        <v>318</v>
      </c>
      <c r="C460" s="7" t="s">
        <v>319</v>
      </c>
      <c r="D460" s="7" t="s">
        <v>114</v>
      </c>
      <c r="E460" s="7" t="s">
        <v>94</v>
      </c>
      <c r="F460" s="7" t="s">
        <v>128</v>
      </c>
      <c r="G460" s="7" t="s">
        <v>96</v>
      </c>
      <c r="H460" s="7" t="s">
        <v>166</v>
      </c>
      <c r="I460" s="7" t="s">
        <v>167</v>
      </c>
      <c r="J460" s="8" t="n">
        <v>45885</v>
      </c>
      <c r="K460" s="8" t="n">
        <v>45938</v>
      </c>
      <c r="L460" s="9" t="n">
        <f aca="false">K460-J460</f>
        <v>53</v>
      </c>
      <c r="M460" s="10" t="n">
        <v>28801.76</v>
      </c>
      <c r="N460" s="7" t="s">
        <v>99</v>
      </c>
      <c r="O460" s="7" t="s">
        <v>124</v>
      </c>
      <c r="P460" s="7"/>
      <c r="Q460" s="7"/>
      <c r="R460" s="7"/>
    </row>
    <row r="461" customFormat="false" ht="15" hidden="false" customHeight="false" outlineLevel="0" collapsed="false">
      <c r="A461" s="7" t="s">
        <v>958</v>
      </c>
      <c r="B461" s="7" t="s">
        <v>240</v>
      </c>
      <c r="C461" s="7" t="s">
        <v>241</v>
      </c>
      <c r="D461" s="7" t="s">
        <v>242</v>
      </c>
      <c r="E461" s="7" t="s">
        <v>105</v>
      </c>
      <c r="F461" s="7" t="s">
        <v>95</v>
      </c>
      <c r="G461" s="7" t="s">
        <v>144</v>
      </c>
      <c r="H461" s="7" t="s">
        <v>108</v>
      </c>
      <c r="I461" s="7" t="s">
        <v>109</v>
      </c>
      <c r="J461" s="8" t="n">
        <v>45873</v>
      </c>
      <c r="K461" s="8" t="n">
        <v>45940</v>
      </c>
      <c r="L461" s="9" t="n">
        <f aca="false">K461-J461</f>
        <v>67</v>
      </c>
      <c r="M461" s="10" t="n">
        <v>86558.55</v>
      </c>
      <c r="N461" s="7" t="s">
        <v>99</v>
      </c>
      <c r="O461" s="7" t="s">
        <v>124</v>
      </c>
      <c r="P461" s="7"/>
      <c r="Q461" s="7"/>
      <c r="R461" s="7"/>
    </row>
    <row r="462" customFormat="false" ht="15" hidden="false" customHeight="false" outlineLevel="0" collapsed="false">
      <c r="A462" s="7" t="s">
        <v>959</v>
      </c>
      <c r="B462" s="7" t="s">
        <v>160</v>
      </c>
      <c r="C462" s="7" t="s">
        <v>161</v>
      </c>
      <c r="D462" s="7" t="s">
        <v>151</v>
      </c>
      <c r="E462" s="7" t="s">
        <v>162</v>
      </c>
      <c r="F462" s="7" t="s">
        <v>128</v>
      </c>
      <c r="G462" s="7" t="s">
        <v>184</v>
      </c>
      <c r="H462" s="7" t="s">
        <v>278</v>
      </c>
      <c r="I462" s="7" t="s">
        <v>279</v>
      </c>
      <c r="J462" s="8" t="n">
        <v>45880</v>
      </c>
      <c r="K462" s="8" t="n">
        <v>45940</v>
      </c>
      <c r="L462" s="9" t="n">
        <f aca="false">K462-J462</f>
        <v>60</v>
      </c>
      <c r="M462" s="10" t="n">
        <v>87061.29</v>
      </c>
      <c r="N462" s="7" t="s">
        <v>131</v>
      </c>
      <c r="O462" s="7"/>
      <c r="P462" s="8" t="n">
        <v>45955</v>
      </c>
      <c r="Q462" s="7" t="n">
        <v>3</v>
      </c>
      <c r="R462" s="8" t="n">
        <f aca="false">EDATE(P462,Q462)</f>
        <v>46047</v>
      </c>
    </row>
    <row r="463" customFormat="false" ht="15" hidden="false" customHeight="false" outlineLevel="0" collapsed="false">
      <c r="A463" s="7" t="s">
        <v>960</v>
      </c>
      <c r="B463" s="7" t="s">
        <v>369</v>
      </c>
      <c r="C463" s="7" t="s">
        <v>370</v>
      </c>
      <c r="D463" s="7" t="s">
        <v>242</v>
      </c>
      <c r="E463" s="7" t="s">
        <v>115</v>
      </c>
      <c r="F463" s="7" t="s">
        <v>136</v>
      </c>
      <c r="G463" s="7" t="s">
        <v>96</v>
      </c>
      <c r="H463" s="7" t="s">
        <v>145</v>
      </c>
      <c r="I463" s="7" t="s">
        <v>146</v>
      </c>
      <c r="J463" s="8" t="n">
        <v>45843</v>
      </c>
      <c r="K463" s="8" t="n">
        <v>45942</v>
      </c>
      <c r="L463" s="9" t="n">
        <f aca="false">K463-J463</f>
        <v>99</v>
      </c>
      <c r="M463" s="10" t="n">
        <v>184081.84</v>
      </c>
      <c r="N463" s="7" t="s">
        <v>131</v>
      </c>
      <c r="O463" s="7"/>
      <c r="P463" s="8" t="n">
        <v>45953</v>
      </c>
      <c r="Q463" s="7" t="n">
        <v>4</v>
      </c>
      <c r="R463" s="8" t="n">
        <f aca="false">EDATE(P463,Q463)</f>
        <v>46076</v>
      </c>
    </row>
    <row r="464" customFormat="false" ht="15" hidden="false" customHeight="false" outlineLevel="0" collapsed="false">
      <c r="A464" s="7" t="s">
        <v>961</v>
      </c>
      <c r="B464" s="7" t="s">
        <v>437</v>
      </c>
      <c r="C464" s="7" t="s">
        <v>438</v>
      </c>
      <c r="D464" s="7" t="s">
        <v>104</v>
      </c>
      <c r="E464" s="7" t="s">
        <v>94</v>
      </c>
      <c r="F464" s="7" t="s">
        <v>183</v>
      </c>
      <c r="G464" s="7" t="s">
        <v>184</v>
      </c>
      <c r="H464" s="7" t="s">
        <v>185</v>
      </c>
      <c r="I464" s="7" t="s">
        <v>186</v>
      </c>
      <c r="J464" s="8" t="n">
        <v>45901</v>
      </c>
      <c r="K464" s="8" t="n">
        <v>45943</v>
      </c>
      <c r="L464" s="9" t="n">
        <f aca="false">K464-J464</f>
        <v>42</v>
      </c>
      <c r="M464" s="10" t="n">
        <v>92010.57</v>
      </c>
      <c r="N464" s="7" t="s">
        <v>99</v>
      </c>
      <c r="O464" s="7" t="s">
        <v>110</v>
      </c>
      <c r="P464" s="7"/>
      <c r="Q464" s="7"/>
      <c r="R464" s="7"/>
    </row>
    <row r="465" customFormat="false" ht="15" hidden="false" customHeight="false" outlineLevel="0" collapsed="false">
      <c r="A465" s="7" t="s">
        <v>962</v>
      </c>
      <c r="B465" s="7" t="s">
        <v>250</v>
      </c>
      <c r="C465" s="7" t="s">
        <v>251</v>
      </c>
      <c r="D465" s="7" t="s">
        <v>195</v>
      </c>
      <c r="E465" s="7" t="s">
        <v>105</v>
      </c>
      <c r="F465" s="7" t="s">
        <v>143</v>
      </c>
      <c r="G465" s="7" t="s">
        <v>96</v>
      </c>
      <c r="H465" s="7" t="s">
        <v>205</v>
      </c>
      <c r="I465" s="7" t="s">
        <v>206</v>
      </c>
      <c r="J465" s="8" t="n">
        <v>45862</v>
      </c>
      <c r="K465" s="8" t="n">
        <v>45945</v>
      </c>
      <c r="L465" s="9" t="n">
        <f aca="false">K465-J465</f>
        <v>83</v>
      </c>
      <c r="M465" s="10" t="n">
        <v>181849.06</v>
      </c>
      <c r="N465" s="7" t="s">
        <v>131</v>
      </c>
      <c r="O465" s="7"/>
      <c r="P465" s="8" t="n">
        <v>45965</v>
      </c>
      <c r="Q465" s="7" t="n">
        <v>10</v>
      </c>
      <c r="R465" s="8" t="n">
        <f aca="false">EDATE(P465,Q465)</f>
        <v>46269</v>
      </c>
    </row>
    <row r="466" customFormat="false" ht="15" hidden="false" customHeight="false" outlineLevel="0" collapsed="false">
      <c r="A466" s="7" t="s">
        <v>963</v>
      </c>
      <c r="B466" s="7" t="s">
        <v>303</v>
      </c>
      <c r="C466" s="7" t="s">
        <v>304</v>
      </c>
      <c r="D466" s="7" t="s">
        <v>93</v>
      </c>
      <c r="E466" s="7" t="s">
        <v>115</v>
      </c>
      <c r="F466" s="7" t="s">
        <v>136</v>
      </c>
      <c r="G466" s="7" t="s">
        <v>184</v>
      </c>
      <c r="H466" s="7" t="s">
        <v>97</v>
      </c>
      <c r="I466" s="7" t="s">
        <v>98</v>
      </c>
      <c r="J466" s="8" t="n">
        <v>45879</v>
      </c>
      <c r="K466" s="8" t="n">
        <v>45945</v>
      </c>
      <c r="L466" s="9" t="n">
        <f aca="false">K466-J466</f>
        <v>66</v>
      </c>
      <c r="M466" s="10" t="n">
        <v>135002.72</v>
      </c>
      <c r="N466" s="7" t="s">
        <v>99</v>
      </c>
      <c r="O466" s="7" t="s">
        <v>110</v>
      </c>
      <c r="P466" s="7"/>
      <c r="Q466" s="7"/>
      <c r="R466" s="7"/>
    </row>
    <row r="467" customFormat="false" ht="15" hidden="false" customHeight="false" outlineLevel="0" collapsed="false">
      <c r="A467" s="7" t="s">
        <v>964</v>
      </c>
      <c r="B467" s="7" t="s">
        <v>164</v>
      </c>
      <c r="C467" s="7" t="s">
        <v>165</v>
      </c>
      <c r="D467" s="7" t="s">
        <v>151</v>
      </c>
      <c r="E467" s="7" t="s">
        <v>94</v>
      </c>
      <c r="F467" s="7" t="s">
        <v>143</v>
      </c>
      <c r="G467" s="7" t="s">
        <v>137</v>
      </c>
      <c r="H467" s="7" t="s">
        <v>305</v>
      </c>
      <c r="I467" s="7" t="s">
        <v>306</v>
      </c>
      <c r="J467" s="8" t="n">
        <v>45911</v>
      </c>
      <c r="K467" s="8" t="n">
        <v>45945</v>
      </c>
      <c r="L467" s="9" t="n">
        <f aca="false">K467-J467</f>
        <v>34</v>
      </c>
      <c r="M467" s="10" t="n">
        <v>74899.49</v>
      </c>
      <c r="N467" s="7" t="s">
        <v>99</v>
      </c>
      <c r="O467" s="7" t="s">
        <v>124</v>
      </c>
      <c r="P467" s="7"/>
      <c r="Q467" s="7"/>
      <c r="R467" s="7"/>
    </row>
    <row r="468" customFormat="false" ht="15" hidden="false" customHeight="false" outlineLevel="0" collapsed="false">
      <c r="A468" s="7" t="s">
        <v>965</v>
      </c>
      <c r="B468" s="7" t="s">
        <v>164</v>
      </c>
      <c r="C468" s="7" t="s">
        <v>165</v>
      </c>
      <c r="D468" s="7" t="s">
        <v>151</v>
      </c>
      <c r="E468" s="7" t="s">
        <v>94</v>
      </c>
      <c r="F468" s="7" t="s">
        <v>157</v>
      </c>
      <c r="G468" s="7" t="s">
        <v>96</v>
      </c>
      <c r="H468" s="7" t="s">
        <v>213</v>
      </c>
      <c r="I468" s="7" t="s">
        <v>214</v>
      </c>
      <c r="J468" s="8" t="n">
        <v>45889</v>
      </c>
      <c r="K468" s="8" t="n">
        <v>45946</v>
      </c>
      <c r="L468" s="9" t="n">
        <f aca="false">K468-J468</f>
        <v>57</v>
      </c>
      <c r="M468" s="10" t="n">
        <v>30768.09</v>
      </c>
      <c r="N468" s="7" t="s">
        <v>99</v>
      </c>
      <c r="O468" s="7" t="s">
        <v>124</v>
      </c>
      <c r="P468" s="7"/>
      <c r="Q468" s="7"/>
      <c r="R468" s="7"/>
    </row>
    <row r="469" customFormat="false" ht="15" hidden="false" customHeight="false" outlineLevel="0" collapsed="false">
      <c r="A469" s="7" t="s">
        <v>966</v>
      </c>
      <c r="B469" s="7" t="s">
        <v>250</v>
      </c>
      <c r="C469" s="7" t="s">
        <v>251</v>
      </c>
      <c r="D469" s="7" t="s">
        <v>195</v>
      </c>
      <c r="E469" s="7" t="s">
        <v>105</v>
      </c>
      <c r="F469" s="7" t="s">
        <v>157</v>
      </c>
      <c r="G469" s="7" t="s">
        <v>117</v>
      </c>
      <c r="H469" s="7" t="s">
        <v>278</v>
      </c>
      <c r="I469" s="7" t="s">
        <v>279</v>
      </c>
      <c r="J469" s="8" t="n">
        <v>45881</v>
      </c>
      <c r="K469" s="8" t="n">
        <v>45949</v>
      </c>
      <c r="L469" s="9" t="n">
        <f aca="false">K469-J469</f>
        <v>68</v>
      </c>
      <c r="M469" s="10" t="n">
        <v>260179.5</v>
      </c>
      <c r="N469" s="7" t="s">
        <v>99</v>
      </c>
      <c r="O469" s="7" t="s">
        <v>110</v>
      </c>
      <c r="P469" s="7"/>
      <c r="Q469" s="7"/>
      <c r="R469" s="7"/>
    </row>
    <row r="470" customFormat="false" ht="15" hidden="false" customHeight="false" outlineLevel="0" collapsed="false">
      <c r="A470" s="7" t="s">
        <v>967</v>
      </c>
      <c r="B470" s="7" t="s">
        <v>569</v>
      </c>
      <c r="C470" s="7" t="s">
        <v>570</v>
      </c>
      <c r="D470" s="7" t="s">
        <v>242</v>
      </c>
      <c r="E470" s="7" t="s">
        <v>162</v>
      </c>
      <c r="F470" s="7" t="s">
        <v>116</v>
      </c>
      <c r="G470" s="7" t="s">
        <v>184</v>
      </c>
      <c r="H470" s="7" t="s">
        <v>278</v>
      </c>
      <c r="I470" s="7" t="s">
        <v>279</v>
      </c>
      <c r="J470" s="8" t="n">
        <v>45904</v>
      </c>
      <c r="K470" s="8" t="n">
        <v>45951</v>
      </c>
      <c r="L470" s="9" t="n">
        <f aca="false">K470-J470</f>
        <v>47</v>
      </c>
      <c r="M470" s="10" t="n">
        <v>93572.28</v>
      </c>
      <c r="N470" s="7" t="s">
        <v>99</v>
      </c>
      <c r="O470" s="7" t="s">
        <v>124</v>
      </c>
      <c r="P470" s="7"/>
      <c r="Q470" s="7"/>
      <c r="R470" s="7"/>
    </row>
    <row r="471" customFormat="false" ht="15" hidden="false" customHeight="false" outlineLevel="0" collapsed="false">
      <c r="A471" s="7" t="s">
        <v>968</v>
      </c>
      <c r="B471" s="7" t="s">
        <v>969</v>
      </c>
      <c r="C471" s="7" t="s">
        <v>970</v>
      </c>
      <c r="D471" s="7" t="s">
        <v>135</v>
      </c>
      <c r="E471" s="7" t="s">
        <v>94</v>
      </c>
      <c r="F471" s="7" t="s">
        <v>106</v>
      </c>
      <c r="G471" s="7" t="s">
        <v>144</v>
      </c>
      <c r="H471" s="7" t="s">
        <v>205</v>
      </c>
      <c r="I471" s="7" t="s">
        <v>206</v>
      </c>
      <c r="J471" s="8" t="n">
        <v>45836</v>
      </c>
      <c r="K471" s="8" t="n">
        <v>45951</v>
      </c>
      <c r="L471" s="9" t="n">
        <f aca="false">K471-J471</f>
        <v>115</v>
      </c>
      <c r="M471" s="10" t="n">
        <v>110971.61</v>
      </c>
      <c r="N471" s="7" t="s">
        <v>131</v>
      </c>
      <c r="O471" s="7"/>
      <c r="P471" s="8" t="n">
        <v>45969</v>
      </c>
      <c r="Q471" s="7" t="n">
        <v>6</v>
      </c>
      <c r="R471" s="8" t="n">
        <f aca="false">EDATE(P471,Q471)</f>
        <v>46150</v>
      </c>
    </row>
    <row r="472" customFormat="false" ht="15" hidden="false" customHeight="false" outlineLevel="0" collapsed="false">
      <c r="A472" s="7" t="s">
        <v>971</v>
      </c>
      <c r="B472" s="7" t="s">
        <v>388</v>
      </c>
      <c r="C472" s="7" t="s">
        <v>389</v>
      </c>
      <c r="D472" s="7" t="s">
        <v>201</v>
      </c>
      <c r="E472" s="7" t="s">
        <v>94</v>
      </c>
      <c r="F472" s="7" t="s">
        <v>95</v>
      </c>
      <c r="G472" s="7" t="s">
        <v>176</v>
      </c>
      <c r="H472" s="7" t="s">
        <v>97</v>
      </c>
      <c r="I472" s="7" t="s">
        <v>98</v>
      </c>
      <c r="J472" s="8" t="n">
        <v>45879</v>
      </c>
      <c r="K472" s="8" t="n">
        <v>45952</v>
      </c>
      <c r="L472" s="9" t="n">
        <f aca="false">K472-J472</f>
        <v>73</v>
      </c>
      <c r="M472" s="10" t="n">
        <v>85568.57</v>
      </c>
      <c r="N472" s="7" t="s">
        <v>131</v>
      </c>
      <c r="O472" s="7"/>
      <c r="P472" s="8" t="n">
        <v>45966</v>
      </c>
      <c r="Q472" s="7" t="n">
        <v>4</v>
      </c>
      <c r="R472" s="8" t="n">
        <f aca="false">EDATE(P472,Q472)</f>
        <v>46086</v>
      </c>
    </row>
    <row r="473" customFormat="false" ht="15" hidden="false" customHeight="false" outlineLevel="0" collapsed="false">
      <c r="A473" s="7" t="s">
        <v>972</v>
      </c>
      <c r="B473" s="7" t="s">
        <v>525</v>
      </c>
      <c r="C473" s="7" t="s">
        <v>526</v>
      </c>
      <c r="D473" s="7" t="s">
        <v>114</v>
      </c>
      <c r="E473" s="7" t="s">
        <v>105</v>
      </c>
      <c r="F473" s="7" t="s">
        <v>116</v>
      </c>
      <c r="G473" s="7" t="s">
        <v>144</v>
      </c>
      <c r="H473" s="7" t="s">
        <v>97</v>
      </c>
      <c r="I473" s="7" t="s">
        <v>98</v>
      </c>
      <c r="J473" s="8" t="n">
        <v>45893</v>
      </c>
      <c r="K473" s="8" t="n">
        <v>45952</v>
      </c>
      <c r="L473" s="9" t="n">
        <f aca="false">K473-J473</f>
        <v>59</v>
      </c>
      <c r="M473" s="10" t="n">
        <v>40885.94</v>
      </c>
      <c r="N473" s="7" t="s">
        <v>99</v>
      </c>
      <c r="O473" s="7" t="s">
        <v>147</v>
      </c>
      <c r="P473" s="7"/>
      <c r="Q473" s="7"/>
      <c r="R473" s="7"/>
    </row>
    <row r="474" customFormat="false" ht="15" hidden="false" customHeight="false" outlineLevel="0" collapsed="false">
      <c r="A474" s="7" t="s">
        <v>973</v>
      </c>
      <c r="B474" s="7" t="s">
        <v>356</v>
      </c>
      <c r="C474" s="7" t="s">
        <v>357</v>
      </c>
      <c r="D474" s="7" t="s">
        <v>114</v>
      </c>
      <c r="E474" s="7" t="s">
        <v>105</v>
      </c>
      <c r="F474" s="7" t="s">
        <v>128</v>
      </c>
      <c r="G474" s="7" t="s">
        <v>144</v>
      </c>
      <c r="H474" s="7" t="s">
        <v>278</v>
      </c>
      <c r="I474" s="7" t="s">
        <v>279</v>
      </c>
      <c r="J474" s="8" t="n">
        <v>45882</v>
      </c>
      <c r="K474" s="8" t="n">
        <v>45953</v>
      </c>
      <c r="L474" s="9" t="n">
        <f aca="false">K474-J474</f>
        <v>71</v>
      </c>
      <c r="M474" s="10" t="n">
        <v>79836.93</v>
      </c>
      <c r="N474" s="7" t="s">
        <v>99</v>
      </c>
      <c r="O474" s="7" t="s">
        <v>110</v>
      </c>
      <c r="P474" s="7"/>
      <c r="Q474" s="7"/>
      <c r="R474" s="7"/>
    </row>
    <row r="475" customFormat="false" ht="15" hidden="false" customHeight="false" outlineLevel="0" collapsed="false">
      <c r="A475" s="7" t="s">
        <v>974</v>
      </c>
      <c r="B475" s="7" t="s">
        <v>975</v>
      </c>
      <c r="C475" s="7" t="s">
        <v>976</v>
      </c>
      <c r="D475" s="7" t="s">
        <v>242</v>
      </c>
      <c r="E475" s="7" t="s">
        <v>94</v>
      </c>
      <c r="F475" s="7" t="s">
        <v>157</v>
      </c>
      <c r="G475" s="7" t="s">
        <v>117</v>
      </c>
      <c r="H475" s="7" t="s">
        <v>278</v>
      </c>
      <c r="I475" s="7" t="s">
        <v>279</v>
      </c>
      <c r="J475" s="8" t="n">
        <v>45874</v>
      </c>
      <c r="K475" s="8" t="n">
        <v>45955</v>
      </c>
      <c r="L475" s="9" t="n">
        <f aca="false">K475-J475</f>
        <v>81</v>
      </c>
      <c r="M475" s="10" t="n">
        <v>61922.48</v>
      </c>
      <c r="N475" s="7" t="s">
        <v>99</v>
      </c>
      <c r="O475" s="7" t="s">
        <v>100</v>
      </c>
      <c r="P475" s="7"/>
      <c r="Q475" s="7"/>
      <c r="R475" s="7"/>
    </row>
    <row r="476" customFormat="false" ht="15" hidden="false" customHeight="false" outlineLevel="0" collapsed="false">
      <c r="A476" s="7" t="s">
        <v>977</v>
      </c>
      <c r="B476" s="7" t="s">
        <v>641</v>
      </c>
      <c r="C476" s="7" t="s">
        <v>642</v>
      </c>
      <c r="D476" s="7" t="s">
        <v>104</v>
      </c>
      <c r="E476" s="7" t="s">
        <v>115</v>
      </c>
      <c r="F476" s="7" t="s">
        <v>157</v>
      </c>
      <c r="G476" s="7" t="s">
        <v>107</v>
      </c>
      <c r="H476" s="7" t="s">
        <v>270</v>
      </c>
      <c r="I476" s="7" t="s">
        <v>271</v>
      </c>
      <c r="J476" s="8" t="n">
        <v>45907</v>
      </c>
      <c r="K476" s="8" t="n">
        <v>45955</v>
      </c>
      <c r="L476" s="9" t="n">
        <f aca="false">K476-J476</f>
        <v>48</v>
      </c>
      <c r="M476" s="10" t="n">
        <v>85247.04</v>
      </c>
      <c r="N476" s="7" t="s">
        <v>99</v>
      </c>
      <c r="O476" s="7" t="s">
        <v>219</v>
      </c>
      <c r="P476" s="7"/>
      <c r="Q476" s="7"/>
      <c r="R476" s="7"/>
    </row>
    <row r="477" customFormat="false" ht="15" hidden="false" customHeight="false" outlineLevel="0" collapsed="false">
      <c r="A477" s="7" t="s">
        <v>978</v>
      </c>
      <c r="B477" s="7" t="s">
        <v>291</v>
      </c>
      <c r="C477" s="7" t="s">
        <v>292</v>
      </c>
      <c r="D477" s="7" t="s">
        <v>201</v>
      </c>
      <c r="E477" s="7" t="s">
        <v>94</v>
      </c>
      <c r="F477" s="7" t="s">
        <v>116</v>
      </c>
      <c r="G477" s="7" t="s">
        <v>96</v>
      </c>
      <c r="H477" s="7" t="s">
        <v>281</v>
      </c>
      <c r="I477" s="7" t="s">
        <v>282</v>
      </c>
      <c r="J477" s="8" t="n">
        <v>45877</v>
      </c>
      <c r="K477" s="8" t="n">
        <v>45955</v>
      </c>
      <c r="L477" s="9" t="n">
        <f aca="false">K477-J477</f>
        <v>78</v>
      </c>
      <c r="M477" s="10" t="n">
        <v>135763.73</v>
      </c>
      <c r="N477" s="7" t="s">
        <v>99</v>
      </c>
      <c r="O477" s="7" t="s">
        <v>124</v>
      </c>
      <c r="P477" s="7"/>
      <c r="Q477" s="7"/>
      <c r="R477" s="7"/>
    </row>
    <row r="478" customFormat="false" ht="15" hidden="false" customHeight="false" outlineLevel="0" collapsed="false">
      <c r="A478" s="7" t="s">
        <v>979</v>
      </c>
      <c r="B478" s="7" t="s">
        <v>221</v>
      </c>
      <c r="C478" s="7" t="s">
        <v>222</v>
      </c>
      <c r="D478" s="7" t="s">
        <v>135</v>
      </c>
      <c r="E478" s="7" t="s">
        <v>162</v>
      </c>
      <c r="F478" s="7" t="s">
        <v>106</v>
      </c>
      <c r="G478" s="7" t="s">
        <v>96</v>
      </c>
      <c r="H478" s="7" t="s">
        <v>177</v>
      </c>
      <c r="I478" s="7" t="s">
        <v>178</v>
      </c>
      <c r="J478" s="8" t="n">
        <v>45917</v>
      </c>
      <c r="K478" s="8" t="n">
        <v>45956</v>
      </c>
      <c r="L478" s="9" t="n">
        <f aca="false">K478-J478</f>
        <v>39</v>
      </c>
      <c r="M478" s="10" t="n">
        <v>41887.97</v>
      </c>
      <c r="N478" s="7" t="s">
        <v>99</v>
      </c>
      <c r="O478" s="7" t="s">
        <v>219</v>
      </c>
      <c r="P478" s="7"/>
      <c r="Q478" s="7"/>
      <c r="R478" s="7"/>
    </row>
    <row r="479" customFormat="false" ht="15" hidden="false" customHeight="false" outlineLevel="0" collapsed="false">
      <c r="A479" s="7" t="s">
        <v>980</v>
      </c>
      <c r="B479" s="7" t="s">
        <v>334</v>
      </c>
      <c r="C479" s="7" t="s">
        <v>335</v>
      </c>
      <c r="D479" s="7" t="s">
        <v>242</v>
      </c>
      <c r="E479" s="7" t="s">
        <v>162</v>
      </c>
      <c r="F479" s="7" t="s">
        <v>157</v>
      </c>
      <c r="G479" s="7" t="s">
        <v>176</v>
      </c>
      <c r="H479" s="7" t="s">
        <v>177</v>
      </c>
      <c r="I479" s="7" t="s">
        <v>178</v>
      </c>
      <c r="J479" s="8" t="n">
        <v>45863</v>
      </c>
      <c r="K479" s="8" t="n">
        <v>45956</v>
      </c>
      <c r="L479" s="9" t="n">
        <f aca="false">K479-J479</f>
        <v>93</v>
      </c>
      <c r="M479" s="10" t="n">
        <v>164205.69</v>
      </c>
      <c r="N479" s="7" t="s">
        <v>99</v>
      </c>
      <c r="O479" s="7" t="s">
        <v>118</v>
      </c>
      <c r="P479" s="7"/>
      <c r="Q479" s="7"/>
      <c r="R479" s="7"/>
    </row>
    <row r="480" customFormat="false" ht="15" hidden="false" customHeight="false" outlineLevel="0" collapsed="false">
      <c r="A480" s="7" t="s">
        <v>981</v>
      </c>
      <c r="B480" s="7" t="s">
        <v>982</v>
      </c>
      <c r="C480" s="7" t="s">
        <v>983</v>
      </c>
      <c r="D480" s="7" t="s">
        <v>135</v>
      </c>
      <c r="E480" s="7" t="s">
        <v>115</v>
      </c>
      <c r="F480" s="7" t="s">
        <v>143</v>
      </c>
      <c r="G480" s="7" t="s">
        <v>117</v>
      </c>
      <c r="H480" s="7" t="s">
        <v>305</v>
      </c>
      <c r="I480" s="7" t="s">
        <v>306</v>
      </c>
      <c r="J480" s="8" t="n">
        <v>45837</v>
      </c>
      <c r="K480" s="8" t="n">
        <v>45957</v>
      </c>
      <c r="L480" s="9" t="n">
        <f aca="false">K480-J480</f>
        <v>120</v>
      </c>
      <c r="M480" s="10" t="n">
        <v>302676.45</v>
      </c>
      <c r="N480" s="7" t="s">
        <v>99</v>
      </c>
      <c r="O480" s="7" t="s">
        <v>118</v>
      </c>
      <c r="P480" s="7"/>
      <c r="Q480" s="7"/>
      <c r="R480" s="7"/>
    </row>
    <row r="481" customFormat="false" ht="15" hidden="false" customHeight="false" outlineLevel="0" collapsed="false">
      <c r="A481" s="7" t="s">
        <v>984</v>
      </c>
      <c r="B481" s="7" t="s">
        <v>747</v>
      </c>
      <c r="C481" s="7" t="s">
        <v>748</v>
      </c>
      <c r="D481" s="7" t="s">
        <v>195</v>
      </c>
      <c r="E481" s="7" t="s">
        <v>105</v>
      </c>
      <c r="F481" s="7" t="s">
        <v>136</v>
      </c>
      <c r="G481" s="7" t="s">
        <v>107</v>
      </c>
      <c r="H481" s="7" t="s">
        <v>196</v>
      </c>
      <c r="I481" s="7" t="s">
        <v>197</v>
      </c>
      <c r="J481" s="8" t="n">
        <v>45890</v>
      </c>
      <c r="K481" s="8" t="n">
        <v>45958</v>
      </c>
      <c r="L481" s="9" t="n">
        <f aca="false">K481-J481</f>
        <v>68</v>
      </c>
      <c r="M481" s="10" t="n">
        <v>90418.93</v>
      </c>
      <c r="N481" s="7" t="s">
        <v>99</v>
      </c>
      <c r="O481" s="7" t="s">
        <v>110</v>
      </c>
      <c r="P481" s="7"/>
      <c r="Q481" s="7"/>
      <c r="R481" s="7"/>
    </row>
    <row r="482" customFormat="false" ht="15" hidden="false" customHeight="false" outlineLevel="0" collapsed="false">
      <c r="A482" s="7" t="s">
        <v>985</v>
      </c>
      <c r="B482" s="7" t="s">
        <v>91</v>
      </c>
      <c r="C482" s="7" t="s">
        <v>92</v>
      </c>
      <c r="D482" s="7" t="s">
        <v>93</v>
      </c>
      <c r="E482" s="7" t="s">
        <v>94</v>
      </c>
      <c r="F482" s="7" t="s">
        <v>116</v>
      </c>
      <c r="G482" s="7" t="s">
        <v>144</v>
      </c>
      <c r="H482" s="7" t="s">
        <v>145</v>
      </c>
      <c r="I482" s="7" t="s">
        <v>146</v>
      </c>
      <c r="J482" s="8" t="n">
        <v>45876</v>
      </c>
      <c r="K482" s="8" t="n">
        <v>45959</v>
      </c>
      <c r="L482" s="9" t="n">
        <f aca="false">K482-J482</f>
        <v>83</v>
      </c>
      <c r="M482" s="10" t="n">
        <v>211186.77</v>
      </c>
      <c r="N482" s="7" t="s">
        <v>99</v>
      </c>
      <c r="O482" s="7" t="s">
        <v>110</v>
      </c>
      <c r="P482" s="7"/>
      <c r="Q482" s="7"/>
      <c r="R482" s="7"/>
    </row>
    <row r="483" customFormat="false" ht="15" hidden="false" customHeight="false" outlineLevel="0" collapsed="false">
      <c r="A483" s="7" t="s">
        <v>986</v>
      </c>
      <c r="B483" s="7" t="s">
        <v>603</v>
      </c>
      <c r="C483" s="7" t="s">
        <v>604</v>
      </c>
      <c r="D483" s="7" t="s">
        <v>195</v>
      </c>
      <c r="E483" s="7" t="s">
        <v>105</v>
      </c>
      <c r="F483" s="7" t="s">
        <v>183</v>
      </c>
      <c r="G483" s="7" t="s">
        <v>117</v>
      </c>
      <c r="H483" s="7" t="s">
        <v>171</v>
      </c>
      <c r="I483" s="7" t="s">
        <v>172</v>
      </c>
      <c r="J483" s="8" t="n">
        <v>45834</v>
      </c>
      <c r="K483" s="8" t="n">
        <v>45959</v>
      </c>
      <c r="L483" s="9" t="n">
        <f aca="false">K483-J483</f>
        <v>125</v>
      </c>
      <c r="M483" s="10" t="n">
        <v>122767.85</v>
      </c>
      <c r="N483" s="7" t="s">
        <v>99</v>
      </c>
      <c r="O483" s="7" t="s">
        <v>110</v>
      </c>
      <c r="P483" s="7"/>
      <c r="Q483" s="7"/>
      <c r="R483" s="7"/>
    </row>
    <row r="484" customFormat="false" ht="15" hidden="false" customHeight="false" outlineLevel="0" collapsed="false">
      <c r="A484" s="7" t="s">
        <v>987</v>
      </c>
      <c r="B484" s="7" t="s">
        <v>334</v>
      </c>
      <c r="C484" s="7" t="s">
        <v>335</v>
      </c>
      <c r="D484" s="7" t="s">
        <v>242</v>
      </c>
      <c r="E484" s="7" t="s">
        <v>162</v>
      </c>
      <c r="F484" s="7" t="s">
        <v>95</v>
      </c>
      <c r="G484" s="7" t="s">
        <v>144</v>
      </c>
      <c r="H484" s="7" t="s">
        <v>166</v>
      </c>
      <c r="I484" s="7" t="s">
        <v>167</v>
      </c>
      <c r="J484" s="8" t="n">
        <v>45880</v>
      </c>
      <c r="K484" s="8" t="n">
        <v>45962</v>
      </c>
      <c r="L484" s="9" t="n">
        <f aca="false">K484-J484</f>
        <v>82</v>
      </c>
      <c r="M484" s="10" t="n">
        <v>171839.65</v>
      </c>
      <c r="N484" s="7" t="s">
        <v>99</v>
      </c>
      <c r="O484" s="7" t="s">
        <v>118</v>
      </c>
      <c r="P484" s="7"/>
      <c r="Q484" s="7"/>
      <c r="R484" s="7"/>
    </row>
    <row r="485" customFormat="false" ht="15" hidden="false" customHeight="false" outlineLevel="0" collapsed="false">
      <c r="A485" s="7" t="s">
        <v>988</v>
      </c>
      <c r="B485" s="7" t="s">
        <v>412</v>
      </c>
      <c r="C485" s="7" t="s">
        <v>413</v>
      </c>
      <c r="D485" s="7" t="s">
        <v>151</v>
      </c>
      <c r="E485" s="7" t="s">
        <v>115</v>
      </c>
      <c r="F485" s="7" t="s">
        <v>106</v>
      </c>
      <c r="G485" s="7" t="s">
        <v>96</v>
      </c>
      <c r="H485" s="7" t="s">
        <v>152</v>
      </c>
      <c r="I485" s="7" t="s">
        <v>153</v>
      </c>
      <c r="J485" s="8" t="n">
        <v>45894</v>
      </c>
      <c r="K485" s="8" t="n">
        <v>45963</v>
      </c>
      <c r="L485" s="9" t="n">
        <f aca="false">K485-J485</f>
        <v>69</v>
      </c>
      <c r="M485" s="10" t="n">
        <v>50800.17</v>
      </c>
      <c r="N485" s="7" t="s">
        <v>99</v>
      </c>
      <c r="O485" s="7" t="s">
        <v>100</v>
      </c>
      <c r="P485" s="7"/>
      <c r="Q485" s="7"/>
      <c r="R485" s="7"/>
    </row>
    <row r="486" customFormat="false" ht="15" hidden="false" customHeight="false" outlineLevel="0" collapsed="false">
      <c r="A486" s="7" t="s">
        <v>989</v>
      </c>
      <c r="B486" s="7" t="s">
        <v>359</v>
      </c>
      <c r="C486" s="7" t="s">
        <v>360</v>
      </c>
      <c r="D486" s="7" t="s">
        <v>114</v>
      </c>
      <c r="E486" s="7" t="s">
        <v>94</v>
      </c>
      <c r="F486" s="7" t="s">
        <v>157</v>
      </c>
      <c r="G486" s="7" t="s">
        <v>117</v>
      </c>
      <c r="H486" s="7" t="s">
        <v>185</v>
      </c>
      <c r="I486" s="7" t="s">
        <v>186</v>
      </c>
      <c r="J486" s="8" t="n">
        <v>45912</v>
      </c>
      <c r="K486" s="8" t="n">
        <v>45964</v>
      </c>
      <c r="L486" s="9" t="n">
        <f aca="false">K486-J486</f>
        <v>52</v>
      </c>
      <c r="M486" s="10" t="n">
        <v>89764.77</v>
      </c>
      <c r="N486" s="7" t="s">
        <v>131</v>
      </c>
      <c r="O486" s="7"/>
      <c r="P486" s="8" t="n">
        <v>45978</v>
      </c>
      <c r="Q486" s="7" t="n">
        <v>4</v>
      </c>
      <c r="R486" s="8" t="n">
        <f aca="false">EDATE(P486,Q486)</f>
        <v>46098</v>
      </c>
    </row>
    <row r="487" customFormat="false" ht="15" hidden="false" customHeight="false" outlineLevel="0" collapsed="false">
      <c r="A487" s="7" t="s">
        <v>990</v>
      </c>
      <c r="B487" s="7" t="s">
        <v>424</v>
      </c>
      <c r="C487" s="7" t="s">
        <v>425</v>
      </c>
      <c r="D487" s="7" t="s">
        <v>114</v>
      </c>
      <c r="E487" s="7" t="s">
        <v>115</v>
      </c>
      <c r="F487" s="7" t="s">
        <v>106</v>
      </c>
      <c r="G487" s="7" t="s">
        <v>184</v>
      </c>
      <c r="H487" s="7" t="s">
        <v>97</v>
      </c>
      <c r="I487" s="7" t="s">
        <v>98</v>
      </c>
      <c r="J487" s="8" t="n">
        <v>45906</v>
      </c>
      <c r="K487" s="8" t="n">
        <v>45966</v>
      </c>
      <c r="L487" s="9" t="n">
        <f aca="false">K487-J487</f>
        <v>60</v>
      </c>
      <c r="M487" s="10" t="n">
        <v>70604.21</v>
      </c>
      <c r="N487" s="7" t="s">
        <v>99</v>
      </c>
      <c r="O487" s="7" t="s">
        <v>100</v>
      </c>
      <c r="P487" s="7"/>
      <c r="Q487" s="7"/>
      <c r="R487" s="7"/>
    </row>
    <row r="488" customFormat="false" ht="15" hidden="false" customHeight="false" outlineLevel="0" collapsed="false">
      <c r="A488" s="7" t="s">
        <v>991</v>
      </c>
      <c r="B488" s="7" t="s">
        <v>463</v>
      </c>
      <c r="C488" s="7" t="s">
        <v>464</v>
      </c>
      <c r="D488" s="7" t="s">
        <v>151</v>
      </c>
      <c r="E488" s="7" t="s">
        <v>115</v>
      </c>
      <c r="F488" s="7" t="s">
        <v>183</v>
      </c>
      <c r="G488" s="7" t="s">
        <v>137</v>
      </c>
      <c r="H488" s="7" t="s">
        <v>97</v>
      </c>
      <c r="I488" s="7" t="s">
        <v>98</v>
      </c>
      <c r="J488" s="8" t="n">
        <v>45874</v>
      </c>
      <c r="K488" s="8" t="n">
        <v>45969</v>
      </c>
      <c r="L488" s="9" t="n">
        <f aca="false">K488-J488</f>
        <v>95</v>
      </c>
      <c r="M488" s="10" t="n">
        <v>77146.58</v>
      </c>
      <c r="N488" s="7" t="s">
        <v>99</v>
      </c>
      <c r="O488" s="7" t="s">
        <v>147</v>
      </c>
      <c r="P488" s="7"/>
      <c r="Q488" s="7"/>
      <c r="R488" s="7"/>
    </row>
    <row r="489" customFormat="false" ht="15" hidden="false" customHeight="false" outlineLevel="0" collapsed="false">
      <c r="A489" s="7" t="s">
        <v>992</v>
      </c>
      <c r="B489" s="7" t="s">
        <v>821</v>
      </c>
      <c r="C489" s="7" t="s">
        <v>822</v>
      </c>
      <c r="D489" s="7" t="s">
        <v>201</v>
      </c>
      <c r="E489" s="7" t="s">
        <v>105</v>
      </c>
      <c r="F489" s="7" t="s">
        <v>95</v>
      </c>
      <c r="G489" s="7" t="s">
        <v>137</v>
      </c>
      <c r="H489" s="7" t="s">
        <v>305</v>
      </c>
      <c r="I489" s="7" t="s">
        <v>306</v>
      </c>
      <c r="J489" s="8" t="n">
        <v>45919</v>
      </c>
      <c r="K489" s="8" t="n">
        <v>45970</v>
      </c>
      <c r="L489" s="9" t="n">
        <f aca="false">K489-J489</f>
        <v>51</v>
      </c>
      <c r="M489" s="10" t="n">
        <v>84491.34</v>
      </c>
      <c r="N489" s="7" t="s">
        <v>99</v>
      </c>
      <c r="O489" s="7" t="s">
        <v>219</v>
      </c>
      <c r="P489" s="7"/>
      <c r="Q489" s="7"/>
      <c r="R489" s="7"/>
    </row>
    <row r="490" customFormat="false" ht="15" hidden="false" customHeight="false" outlineLevel="0" collapsed="false">
      <c r="A490" s="7" t="s">
        <v>993</v>
      </c>
      <c r="B490" s="7" t="s">
        <v>457</v>
      </c>
      <c r="C490" s="7" t="s">
        <v>458</v>
      </c>
      <c r="D490" s="7" t="s">
        <v>242</v>
      </c>
      <c r="E490" s="7" t="s">
        <v>94</v>
      </c>
      <c r="F490" s="7" t="s">
        <v>95</v>
      </c>
      <c r="G490" s="7" t="s">
        <v>176</v>
      </c>
      <c r="H490" s="7" t="s">
        <v>281</v>
      </c>
      <c r="I490" s="7" t="s">
        <v>282</v>
      </c>
      <c r="J490" s="8" t="n">
        <v>45904</v>
      </c>
      <c r="K490" s="8" t="n">
        <v>45971</v>
      </c>
      <c r="L490" s="9" t="n">
        <f aca="false">K490-J490</f>
        <v>67</v>
      </c>
      <c r="M490" s="10" t="n">
        <v>109279.16</v>
      </c>
      <c r="N490" s="7" t="s">
        <v>99</v>
      </c>
      <c r="O490" s="7" t="s">
        <v>124</v>
      </c>
      <c r="P490" s="7"/>
      <c r="Q490" s="7"/>
      <c r="R490" s="7"/>
    </row>
    <row r="491" customFormat="false" ht="15" hidden="false" customHeight="false" outlineLevel="0" collapsed="false">
      <c r="A491" s="7" t="s">
        <v>994</v>
      </c>
      <c r="B491" s="7" t="s">
        <v>995</v>
      </c>
      <c r="C491" s="7" t="s">
        <v>996</v>
      </c>
      <c r="D491" s="7" t="s">
        <v>114</v>
      </c>
      <c r="E491" s="7" t="s">
        <v>162</v>
      </c>
      <c r="F491" s="7" t="s">
        <v>157</v>
      </c>
      <c r="G491" s="7" t="s">
        <v>107</v>
      </c>
      <c r="H491" s="7" t="s">
        <v>231</v>
      </c>
      <c r="I491" s="7" t="s">
        <v>232</v>
      </c>
      <c r="J491" s="8" t="n">
        <v>45899</v>
      </c>
      <c r="K491" s="8" t="n">
        <v>45971</v>
      </c>
      <c r="L491" s="9" t="n">
        <f aca="false">K491-J491</f>
        <v>72</v>
      </c>
      <c r="M491" s="10" t="n">
        <v>94752.14</v>
      </c>
      <c r="N491" s="7" t="s">
        <v>99</v>
      </c>
      <c r="O491" s="7" t="s">
        <v>219</v>
      </c>
      <c r="P491" s="7"/>
      <c r="Q491" s="7"/>
      <c r="R491" s="7"/>
    </row>
    <row r="492" customFormat="false" ht="15" hidden="false" customHeight="false" outlineLevel="0" collapsed="false">
      <c r="A492" s="7" t="s">
        <v>997</v>
      </c>
      <c r="B492" s="7" t="s">
        <v>998</v>
      </c>
      <c r="C492" s="7" t="s">
        <v>999</v>
      </c>
      <c r="D492" s="7" t="s">
        <v>104</v>
      </c>
      <c r="E492" s="7" t="s">
        <v>115</v>
      </c>
      <c r="F492" s="7" t="s">
        <v>136</v>
      </c>
      <c r="G492" s="7" t="s">
        <v>107</v>
      </c>
      <c r="H492" s="7" t="s">
        <v>129</v>
      </c>
      <c r="I492" s="7" t="s">
        <v>130</v>
      </c>
      <c r="J492" s="8" t="n">
        <v>45923</v>
      </c>
      <c r="K492" s="8" t="n">
        <v>45971</v>
      </c>
      <c r="L492" s="9" t="n">
        <f aca="false">K492-J492</f>
        <v>48</v>
      </c>
      <c r="M492" s="10" t="n">
        <v>79106.52</v>
      </c>
      <c r="N492" s="7" t="s">
        <v>99</v>
      </c>
      <c r="O492" s="7" t="s">
        <v>219</v>
      </c>
      <c r="P492" s="7"/>
      <c r="Q492" s="7"/>
      <c r="R492" s="7"/>
    </row>
    <row r="493" customFormat="false" ht="15" hidden="false" customHeight="false" outlineLevel="0" collapsed="false">
      <c r="A493" s="7" t="s">
        <v>1000</v>
      </c>
      <c r="B493" s="7" t="s">
        <v>871</v>
      </c>
      <c r="C493" s="7" t="s">
        <v>872</v>
      </c>
      <c r="D493" s="7" t="s">
        <v>114</v>
      </c>
      <c r="E493" s="7" t="s">
        <v>105</v>
      </c>
      <c r="F493" s="7" t="s">
        <v>116</v>
      </c>
      <c r="G493" s="7" t="s">
        <v>137</v>
      </c>
      <c r="H493" s="7" t="s">
        <v>190</v>
      </c>
      <c r="I493" s="7" t="s">
        <v>191</v>
      </c>
      <c r="J493" s="8" t="n">
        <v>45918</v>
      </c>
      <c r="K493" s="8" t="n">
        <v>45972</v>
      </c>
      <c r="L493" s="9" t="n">
        <f aca="false">K493-J493</f>
        <v>54</v>
      </c>
      <c r="M493" s="10" t="n">
        <v>97649.85</v>
      </c>
      <c r="N493" s="7" t="s">
        <v>131</v>
      </c>
      <c r="O493" s="7"/>
      <c r="P493" s="8" t="n">
        <v>45981</v>
      </c>
      <c r="Q493" s="7" t="n">
        <v>3</v>
      </c>
      <c r="R493" s="8" t="n">
        <f aca="false">EDATE(P493,Q493)</f>
        <v>46073</v>
      </c>
    </row>
    <row r="494" customFormat="false" ht="15" hidden="false" customHeight="false" outlineLevel="0" collapsed="false">
      <c r="A494" s="7" t="s">
        <v>1001</v>
      </c>
      <c r="B494" s="7" t="s">
        <v>1002</v>
      </c>
      <c r="C494" s="7" t="s">
        <v>1003</v>
      </c>
      <c r="D494" s="7" t="s">
        <v>104</v>
      </c>
      <c r="E494" s="7" t="s">
        <v>115</v>
      </c>
      <c r="F494" s="7" t="s">
        <v>136</v>
      </c>
      <c r="G494" s="7" t="s">
        <v>107</v>
      </c>
      <c r="H494" s="7" t="s">
        <v>171</v>
      </c>
      <c r="I494" s="7" t="s">
        <v>172</v>
      </c>
      <c r="J494" s="8" t="n">
        <v>45875</v>
      </c>
      <c r="K494" s="8" t="n">
        <v>45973</v>
      </c>
      <c r="L494" s="9" t="n">
        <f aca="false">K494-J494</f>
        <v>98</v>
      </c>
      <c r="M494" s="10" t="n">
        <v>56533.07</v>
      </c>
      <c r="N494" s="7" t="s">
        <v>99</v>
      </c>
      <c r="O494" s="7" t="s">
        <v>118</v>
      </c>
      <c r="P494" s="7"/>
      <c r="Q494" s="7"/>
      <c r="R494" s="7"/>
    </row>
    <row r="495" customFormat="false" ht="15" hidden="false" customHeight="false" outlineLevel="0" collapsed="false">
      <c r="A495" s="7" t="s">
        <v>1004</v>
      </c>
      <c r="B495" s="7" t="s">
        <v>457</v>
      </c>
      <c r="C495" s="7" t="s">
        <v>458</v>
      </c>
      <c r="D495" s="7" t="s">
        <v>242</v>
      </c>
      <c r="E495" s="7" t="s">
        <v>94</v>
      </c>
      <c r="F495" s="7" t="s">
        <v>157</v>
      </c>
      <c r="G495" s="7" t="s">
        <v>107</v>
      </c>
      <c r="H495" s="7" t="s">
        <v>166</v>
      </c>
      <c r="I495" s="7" t="s">
        <v>167</v>
      </c>
      <c r="J495" s="8" t="n">
        <v>45857</v>
      </c>
      <c r="K495" s="8" t="n">
        <v>45974</v>
      </c>
      <c r="L495" s="9" t="n">
        <f aca="false">K495-J495</f>
        <v>117</v>
      </c>
      <c r="M495" s="10" t="n">
        <v>397905.43</v>
      </c>
      <c r="N495" s="7" t="s">
        <v>99</v>
      </c>
      <c r="O495" s="7" t="s">
        <v>124</v>
      </c>
      <c r="P495" s="7"/>
      <c r="Q495" s="7"/>
      <c r="R495" s="7"/>
    </row>
    <row r="496" customFormat="false" ht="15" hidden="false" customHeight="false" outlineLevel="0" collapsed="false">
      <c r="A496" s="7" t="s">
        <v>1005</v>
      </c>
      <c r="B496" s="7" t="s">
        <v>388</v>
      </c>
      <c r="C496" s="7" t="s">
        <v>389</v>
      </c>
      <c r="D496" s="7" t="s">
        <v>201</v>
      </c>
      <c r="E496" s="7" t="s">
        <v>94</v>
      </c>
      <c r="F496" s="7" t="s">
        <v>95</v>
      </c>
      <c r="G496" s="7" t="s">
        <v>184</v>
      </c>
      <c r="H496" s="7" t="s">
        <v>223</v>
      </c>
      <c r="I496" s="7" t="s">
        <v>224</v>
      </c>
      <c r="J496" s="8" t="n">
        <v>45905</v>
      </c>
      <c r="K496" s="8" t="n">
        <v>45974</v>
      </c>
      <c r="L496" s="9" t="n">
        <f aca="false">K496-J496</f>
        <v>69</v>
      </c>
      <c r="M496" s="10" t="n">
        <v>56790.62</v>
      </c>
      <c r="N496" s="7" t="s">
        <v>99</v>
      </c>
      <c r="O496" s="7" t="s">
        <v>147</v>
      </c>
      <c r="P496" s="7"/>
      <c r="Q496" s="7"/>
      <c r="R496" s="7"/>
    </row>
    <row r="497" customFormat="false" ht="15" hidden="false" customHeight="false" outlineLevel="0" collapsed="false">
      <c r="A497" s="7" t="s">
        <v>1006</v>
      </c>
      <c r="B497" s="7" t="s">
        <v>229</v>
      </c>
      <c r="C497" s="7" t="s">
        <v>230</v>
      </c>
      <c r="D497" s="7" t="s">
        <v>93</v>
      </c>
      <c r="E497" s="7" t="s">
        <v>94</v>
      </c>
      <c r="F497" s="7" t="s">
        <v>157</v>
      </c>
      <c r="G497" s="7" t="s">
        <v>107</v>
      </c>
      <c r="H497" s="7" t="s">
        <v>196</v>
      </c>
      <c r="I497" s="7" t="s">
        <v>197</v>
      </c>
      <c r="J497" s="8" t="n">
        <v>45850</v>
      </c>
      <c r="K497" s="8" t="n">
        <v>45977</v>
      </c>
      <c r="L497" s="9" t="n">
        <f aca="false">K497-J497</f>
        <v>127</v>
      </c>
      <c r="M497" s="10" t="n">
        <v>239873.13</v>
      </c>
      <c r="N497" s="7" t="s">
        <v>131</v>
      </c>
      <c r="O497" s="7"/>
      <c r="P497" s="8" t="n">
        <v>45983</v>
      </c>
      <c r="Q497" s="7" t="n">
        <v>4</v>
      </c>
      <c r="R497" s="8" t="n">
        <f aca="false">EDATE(P497,Q497)</f>
        <v>46103</v>
      </c>
    </row>
    <row r="498" customFormat="false" ht="15" hidden="false" customHeight="false" outlineLevel="0" collapsed="false">
      <c r="A498" s="7" t="s">
        <v>1007</v>
      </c>
      <c r="B498" s="7" t="s">
        <v>616</v>
      </c>
      <c r="C498" s="7" t="s">
        <v>617</v>
      </c>
      <c r="D498" s="7" t="s">
        <v>201</v>
      </c>
      <c r="E498" s="7" t="s">
        <v>105</v>
      </c>
      <c r="F498" s="7" t="s">
        <v>157</v>
      </c>
      <c r="G498" s="7" t="s">
        <v>176</v>
      </c>
      <c r="H498" s="7" t="s">
        <v>152</v>
      </c>
      <c r="I498" s="7" t="s">
        <v>153</v>
      </c>
      <c r="J498" s="8" t="n">
        <v>45913</v>
      </c>
      <c r="K498" s="8" t="n">
        <v>45978</v>
      </c>
      <c r="L498" s="9" t="n">
        <f aca="false">K498-J498</f>
        <v>65</v>
      </c>
      <c r="M498" s="10" t="n">
        <v>41307.45</v>
      </c>
      <c r="N498" s="7" t="s">
        <v>99</v>
      </c>
      <c r="O498" s="7" t="s">
        <v>110</v>
      </c>
      <c r="P498" s="7"/>
      <c r="Q498" s="7"/>
      <c r="R498" s="7"/>
    </row>
    <row r="499" customFormat="false" ht="15" hidden="false" customHeight="false" outlineLevel="0" collapsed="false">
      <c r="A499" s="7" t="s">
        <v>1008</v>
      </c>
      <c r="B499" s="7" t="s">
        <v>424</v>
      </c>
      <c r="C499" s="7" t="s">
        <v>425</v>
      </c>
      <c r="D499" s="7" t="s">
        <v>114</v>
      </c>
      <c r="E499" s="7" t="s">
        <v>115</v>
      </c>
      <c r="F499" s="7" t="s">
        <v>143</v>
      </c>
      <c r="G499" s="7" t="s">
        <v>176</v>
      </c>
      <c r="H499" s="7" t="s">
        <v>190</v>
      </c>
      <c r="I499" s="7" t="s">
        <v>191</v>
      </c>
      <c r="J499" s="8" t="n">
        <v>45899</v>
      </c>
      <c r="K499" s="8" t="n">
        <v>45978</v>
      </c>
      <c r="L499" s="9" t="n">
        <f aca="false">K499-J499</f>
        <v>79</v>
      </c>
      <c r="M499" s="10" t="n">
        <v>171770.79</v>
      </c>
      <c r="N499" s="7" t="s">
        <v>131</v>
      </c>
      <c r="O499" s="7"/>
      <c r="P499" s="8" t="n">
        <v>45985</v>
      </c>
      <c r="Q499" s="7" t="n">
        <v>9</v>
      </c>
      <c r="R499" s="8" t="n">
        <f aca="false">EDATE(P499,Q499)</f>
        <v>46258</v>
      </c>
    </row>
    <row r="500" customFormat="false" ht="15" hidden="false" customHeight="false" outlineLevel="0" collapsed="false">
      <c r="A500" s="7" t="s">
        <v>1009</v>
      </c>
      <c r="B500" s="7" t="s">
        <v>919</v>
      </c>
      <c r="C500" s="7" t="s">
        <v>920</v>
      </c>
      <c r="D500" s="7" t="s">
        <v>114</v>
      </c>
      <c r="E500" s="7" t="s">
        <v>94</v>
      </c>
      <c r="F500" s="7" t="s">
        <v>136</v>
      </c>
      <c r="G500" s="7" t="s">
        <v>184</v>
      </c>
      <c r="H500" s="7" t="s">
        <v>97</v>
      </c>
      <c r="I500" s="7" t="s">
        <v>98</v>
      </c>
      <c r="J500" s="8" t="n">
        <v>45918</v>
      </c>
      <c r="K500" s="8" t="n">
        <v>45979</v>
      </c>
      <c r="L500" s="9" t="n">
        <f aca="false">K500-J500</f>
        <v>61</v>
      </c>
      <c r="M500" s="10" t="n">
        <v>134657.98</v>
      </c>
      <c r="N500" s="7" t="s">
        <v>99</v>
      </c>
      <c r="O500" s="7" t="s">
        <v>110</v>
      </c>
      <c r="P500" s="7"/>
      <c r="Q500" s="7"/>
      <c r="R500" s="7"/>
    </row>
    <row r="501" customFormat="false" ht="15" hidden="false" customHeight="false" outlineLevel="0" collapsed="false">
      <c r="A501" s="7" t="s">
        <v>1010</v>
      </c>
      <c r="B501" s="7" t="s">
        <v>834</v>
      </c>
      <c r="C501" s="7" t="s">
        <v>835</v>
      </c>
      <c r="D501" s="7" t="s">
        <v>93</v>
      </c>
      <c r="E501" s="7" t="s">
        <v>162</v>
      </c>
      <c r="F501" s="7" t="s">
        <v>128</v>
      </c>
      <c r="G501" s="7" t="s">
        <v>144</v>
      </c>
      <c r="H501" s="7" t="s">
        <v>129</v>
      </c>
      <c r="I501" s="7" t="s">
        <v>130</v>
      </c>
      <c r="J501" s="8" t="n">
        <v>45924</v>
      </c>
      <c r="K501" s="8" t="n">
        <v>45979</v>
      </c>
      <c r="L501" s="9" t="n">
        <f aca="false">K501-J501</f>
        <v>55</v>
      </c>
      <c r="M501" s="10" t="n">
        <v>40922.13</v>
      </c>
      <c r="N501" s="7" t="s">
        <v>99</v>
      </c>
      <c r="O501" s="7" t="s">
        <v>219</v>
      </c>
      <c r="P501" s="7"/>
      <c r="Q501" s="7"/>
      <c r="R501" s="7"/>
    </row>
    <row r="502" customFormat="false" ht="15" hidden="false" customHeight="false" outlineLevel="0" collapsed="false">
      <c r="A502" s="7" t="s">
        <v>1011</v>
      </c>
      <c r="B502" s="7" t="s">
        <v>421</v>
      </c>
      <c r="C502" s="7" t="s">
        <v>422</v>
      </c>
      <c r="D502" s="7" t="s">
        <v>242</v>
      </c>
      <c r="E502" s="7" t="s">
        <v>105</v>
      </c>
      <c r="F502" s="7" t="s">
        <v>157</v>
      </c>
      <c r="G502" s="7" t="s">
        <v>117</v>
      </c>
      <c r="H502" s="7" t="s">
        <v>305</v>
      </c>
      <c r="I502" s="7" t="s">
        <v>306</v>
      </c>
      <c r="J502" s="8" t="n">
        <v>45916</v>
      </c>
      <c r="K502" s="8" t="n">
        <v>45979</v>
      </c>
      <c r="L502" s="9" t="n">
        <f aca="false">K502-J502</f>
        <v>63</v>
      </c>
      <c r="M502" s="10" t="n">
        <v>93668.05</v>
      </c>
      <c r="N502" s="7" t="s">
        <v>99</v>
      </c>
      <c r="O502" s="7" t="s">
        <v>118</v>
      </c>
      <c r="P502" s="7"/>
      <c r="Q502" s="7"/>
      <c r="R502" s="7"/>
    </row>
    <row r="503" customFormat="false" ht="15" hidden="false" customHeight="false" outlineLevel="0" collapsed="false">
      <c r="A503" s="7" t="s">
        <v>1012</v>
      </c>
      <c r="B503" s="7" t="s">
        <v>169</v>
      </c>
      <c r="C503" s="7" t="s">
        <v>170</v>
      </c>
      <c r="D503" s="7" t="s">
        <v>104</v>
      </c>
      <c r="E503" s="7" t="s">
        <v>94</v>
      </c>
      <c r="F503" s="7" t="s">
        <v>157</v>
      </c>
      <c r="G503" s="7" t="s">
        <v>137</v>
      </c>
      <c r="H503" s="7" t="s">
        <v>270</v>
      </c>
      <c r="I503" s="7" t="s">
        <v>271</v>
      </c>
      <c r="J503" s="8" t="n">
        <v>45900</v>
      </c>
      <c r="K503" s="8" t="n">
        <v>45980</v>
      </c>
      <c r="L503" s="9" t="n">
        <f aca="false">K503-J503</f>
        <v>80</v>
      </c>
      <c r="M503" s="10" t="n">
        <v>75624.22</v>
      </c>
      <c r="N503" s="7" t="s">
        <v>99</v>
      </c>
      <c r="O503" s="7" t="s">
        <v>110</v>
      </c>
      <c r="P503" s="7"/>
      <c r="Q503" s="7"/>
      <c r="R503" s="7"/>
    </row>
    <row r="504" customFormat="false" ht="15" hidden="false" customHeight="false" outlineLevel="0" collapsed="false">
      <c r="A504" s="7" t="s">
        <v>1013</v>
      </c>
      <c r="B504" s="7" t="s">
        <v>1014</v>
      </c>
      <c r="C504" s="7" t="s">
        <v>1015</v>
      </c>
      <c r="D504" s="7" t="s">
        <v>151</v>
      </c>
      <c r="E504" s="7" t="s">
        <v>94</v>
      </c>
      <c r="F504" s="7" t="s">
        <v>183</v>
      </c>
      <c r="G504" s="7" t="s">
        <v>117</v>
      </c>
      <c r="H504" s="7" t="s">
        <v>305</v>
      </c>
      <c r="I504" s="7" t="s">
        <v>306</v>
      </c>
      <c r="J504" s="8" t="n">
        <v>45898</v>
      </c>
      <c r="K504" s="8" t="n">
        <v>45981</v>
      </c>
      <c r="L504" s="9" t="n">
        <f aca="false">K504-J504</f>
        <v>83</v>
      </c>
      <c r="M504" s="10" t="n">
        <v>129440.26</v>
      </c>
      <c r="N504" s="7" t="s">
        <v>131</v>
      </c>
      <c r="O504" s="7"/>
      <c r="P504" s="8" t="n">
        <v>45991</v>
      </c>
      <c r="Q504" s="7" t="n">
        <v>1</v>
      </c>
      <c r="R504" s="8" t="n">
        <f aca="false">EDATE(P504,Q504)</f>
        <v>46021</v>
      </c>
    </row>
    <row r="505" customFormat="false" ht="15" hidden="false" customHeight="false" outlineLevel="0" collapsed="false">
      <c r="A505" s="7" t="s">
        <v>1016</v>
      </c>
      <c r="B505" s="7" t="s">
        <v>1002</v>
      </c>
      <c r="C505" s="7" t="s">
        <v>1003</v>
      </c>
      <c r="D505" s="7" t="s">
        <v>104</v>
      </c>
      <c r="E505" s="7" t="s">
        <v>115</v>
      </c>
      <c r="F505" s="7" t="s">
        <v>136</v>
      </c>
      <c r="G505" s="7" t="s">
        <v>107</v>
      </c>
      <c r="H505" s="7" t="s">
        <v>185</v>
      </c>
      <c r="I505" s="7" t="s">
        <v>186</v>
      </c>
      <c r="J505" s="8" t="n">
        <v>45966</v>
      </c>
      <c r="K505" s="8" t="n">
        <v>45981</v>
      </c>
      <c r="L505" s="9" t="n">
        <f aca="false">K505-J505</f>
        <v>15</v>
      </c>
      <c r="M505" s="10" t="n">
        <v>143931.08</v>
      </c>
      <c r="N505" s="7" t="s">
        <v>99</v>
      </c>
      <c r="O505" s="7" t="s">
        <v>219</v>
      </c>
      <c r="P505" s="7"/>
      <c r="Q505" s="7"/>
      <c r="R505" s="7"/>
    </row>
    <row r="506" customFormat="false" ht="15" hidden="false" customHeight="false" outlineLevel="0" collapsed="false">
      <c r="A506" s="7" t="s">
        <v>1017</v>
      </c>
      <c r="B506" s="7" t="s">
        <v>229</v>
      </c>
      <c r="C506" s="7" t="s">
        <v>230</v>
      </c>
      <c r="D506" s="7" t="s">
        <v>93</v>
      </c>
      <c r="E506" s="7" t="s">
        <v>94</v>
      </c>
      <c r="F506" s="7" t="s">
        <v>136</v>
      </c>
      <c r="G506" s="7" t="s">
        <v>137</v>
      </c>
      <c r="H506" s="7" t="s">
        <v>190</v>
      </c>
      <c r="I506" s="7" t="s">
        <v>191</v>
      </c>
      <c r="J506" s="8" t="n">
        <v>45866</v>
      </c>
      <c r="K506" s="8" t="n">
        <v>45982</v>
      </c>
      <c r="L506" s="9" t="n">
        <f aca="false">K506-J506</f>
        <v>116</v>
      </c>
      <c r="M506" s="10" t="n">
        <v>184238.97</v>
      </c>
      <c r="N506" s="7" t="s">
        <v>131</v>
      </c>
      <c r="O506" s="7"/>
      <c r="P506" s="8" t="n">
        <v>45990</v>
      </c>
      <c r="Q506" s="7" t="n">
        <v>2</v>
      </c>
      <c r="R506" s="8" t="n">
        <f aca="false">EDATE(P506,Q506)</f>
        <v>46051</v>
      </c>
    </row>
    <row r="507" customFormat="false" ht="15" hidden="false" customHeight="false" outlineLevel="0" collapsed="false">
      <c r="A507" s="7" t="s">
        <v>1018</v>
      </c>
      <c r="B507" s="7" t="s">
        <v>287</v>
      </c>
      <c r="C507" s="7" t="s">
        <v>288</v>
      </c>
      <c r="D507" s="7" t="s">
        <v>151</v>
      </c>
      <c r="E507" s="7" t="s">
        <v>94</v>
      </c>
      <c r="F507" s="7" t="s">
        <v>136</v>
      </c>
      <c r="G507" s="7" t="s">
        <v>107</v>
      </c>
      <c r="H507" s="7" t="s">
        <v>138</v>
      </c>
      <c r="I507" s="7" t="s">
        <v>139</v>
      </c>
      <c r="J507" s="8" t="n">
        <v>45875</v>
      </c>
      <c r="K507" s="8" t="n">
        <v>45982</v>
      </c>
      <c r="L507" s="9" t="n">
        <f aca="false">K507-J507</f>
        <v>107</v>
      </c>
      <c r="M507" s="10" t="n">
        <v>213181.42</v>
      </c>
      <c r="N507" s="7" t="s">
        <v>99</v>
      </c>
      <c r="O507" s="7" t="s">
        <v>147</v>
      </c>
      <c r="P507" s="7"/>
      <c r="Q507" s="7"/>
      <c r="R507" s="7"/>
    </row>
    <row r="508" customFormat="false" ht="15" hidden="false" customHeight="false" outlineLevel="0" collapsed="false">
      <c r="A508" s="7" t="s">
        <v>1019</v>
      </c>
      <c r="B508" s="7" t="s">
        <v>160</v>
      </c>
      <c r="C508" s="7" t="s">
        <v>161</v>
      </c>
      <c r="D508" s="7" t="s">
        <v>151</v>
      </c>
      <c r="E508" s="7" t="s">
        <v>162</v>
      </c>
      <c r="F508" s="7" t="s">
        <v>128</v>
      </c>
      <c r="G508" s="7" t="s">
        <v>96</v>
      </c>
      <c r="H508" s="7" t="s">
        <v>190</v>
      </c>
      <c r="I508" s="7" t="s">
        <v>191</v>
      </c>
      <c r="J508" s="8" t="n">
        <v>45947</v>
      </c>
      <c r="K508" s="8" t="n">
        <v>45983</v>
      </c>
      <c r="L508" s="9" t="n">
        <f aca="false">K508-J508</f>
        <v>36</v>
      </c>
      <c r="M508" s="10" t="n">
        <v>48174.29</v>
      </c>
      <c r="N508" s="7" t="s">
        <v>99</v>
      </c>
      <c r="O508" s="7" t="s">
        <v>118</v>
      </c>
      <c r="P508" s="7"/>
      <c r="Q508" s="7"/>
      <c r="R508" s="7"/>
    </row>
    <row r="509" customFormat="false" ht="15" hidden="false" customHeight="false" outlineLevel="0" collapsed="false">
      <c r="A509" s="7" t="s">
        <v>1020</v>
      </c>
      <c r="B509" s="7" t="s">
        <v>240</v>
      </c>
      <c r="C509" s="7" t="s">
        <v>241</v>
      </c>
      <c r="D509" s="7" t="s">
        <v>242</v>
      </c>
      <c r="E509" s="7" t="s">
        <v>105</v>
      </c>
      <c r="F509" s="7" t="s">
        <v>128</v>
      </c>
      <c r="G509" s="7" t="s">
        <v>184</v>
      </c>
      <c r="H509" s="7" t="s">
        <v>122</v>
      </c>
      <c r="I509" s="7" t="s">
        <v>123</v>
      </c>
      <c r="J509" s="8" t="n">
        <v>45899</v>
      </c>
      <c r="K509" s="8" t="n">
        <v>45986</v>
      </c>
      <c r="L509" s="9" t="n">
        <f aca="false">K509-J509</f>
        <v>87</v>
      </c>
      <c r="M509" s="10" t="n">
        <v>70420.35</v>
      </c>
      <c r="N509" s="7" t="s">
        <v>131</v>
      </c>
      <c r="O509" s="7"/>
      <c r="P509" s="8" t="n">
        <v>46002</v>
      </c>
      <c r="Q509" s="7" t="n">
        <v>2</v>
      </c>
      <c r="R509" s="8" t="n">
        <f aca="false">EDATE(P509,Q509)</f>
        <v>46064</v>
      </c>
    </row>
    <row r="510" customFormat="false" ht="15" hidden="false" customHeight="false" outlineLevel="0" collapsed="false">
      <c r="A510" s="7" t="s">
        <v>1021</v>
      </c>
      <c r="B510" s="7" t="s">
        <v>265</v>
      </c>
      <c r="C510" s="7" t="s">
        <v>266</v>
      </c>
      <c r="D510" s="7" t="s">
        <v>151</v>
      </c>
      <c r="E510" s="7" t="s">
        <v>115</v>
      </c>
      <c r="F510" s="7" t="s">
        <v>116</v>
      </c>
      <c r="G510" s="7" t="s">
        <v>107</v>
      </c>
      <c r="H510" s="7" t="s">
        <v>196</v>
      </c>
      <c r="I510" s="7" t="s">
        <v>197</v>
      </c>
      <c r="J510" s="8" t="n">
        <v>45918</v>
      </c>
      <c r="K510" s="8" t="n">
        <v>45986</v>
      </c>
      <c r="L510" s="9" t="n">
        <f aca="false">K510-J510</f>
        <v>68</v>
      </c>
      <c r="M510" s="10" t="n">
        <v>66730.66</v>
      </c>
      <c r="N510" s="7" t="s">
        <v>99</v>
      </c>
      <c r="O510" s="7" t="s">
        <v>147</v>
      </c>
      <c r="P510" s="7"/>
      <c r="Q510" s="7"/>
      <c r="R510" s="7"/>
    </row>
    <row r="511" customFormat="false" ht="15" hidden="false" customHeight="false" outlineLevel="0" collapsed="false">
      <c r="A511" s="7" t="s">
        <v>1022</v>
      </c>
      <c r="B511" s="7" t="s">
        <v>273</v>
      </c>
      <c r="C511" s="7" t="s">
        <v>274</v>
      </c>
      <c r="D511" s="7" t="s">
        <v>195</v>
      </c>
      <c r="E511" s="7" t="s">
        <v>94</v>
      </c>
      <c r="F511" s="7" t="s">
        <v>183</v>
      </c>
      <c r="G511" s="7" t="s">
        <v>107</v>
      </c>
      <c r="H511" s="7" t="s">
        <v>196</v>
      </c>
      <c r="I511" s="7" t="s">
        <v>197</v>
      </c>
      <c r="J511" s="8" t="n">
        <v>45914</v>
      </c>
      <c r="K511" s="8" t="n">
        <v>45986</v>
      </c>
      <c r="L511" s="9" t="n">
        <f aca="false">K511-J511</f>
        <v>72</v>
      </c>
      <c r="M511" s="10" t="n">
        <v>133393.92</v>
      </c>
      <c r="N511" s="7" t="s">
        <v>99</v>
      </c>
      <c r="O511" s="7" t="s">
        <v>147</v>
      </c>
      <c r="P511" s="7"/>
      <c r="Q511" s="7"/>
      <c r="R511" s="7"/>
    </row>
    <row r="512" customFormat="false" ht="15" hidden="false" customHeight="false" outlineLevel="0" collapsed="false">
      <c r="A512" s="7" t="s">
        <v>1023</v>
      </c>
      <c r="B512" s="7" t="s">
        <v>875</v>
      </c>
      <c r="C512" s="7" t="s">
        <v>876</v>
      </c>
      <c r="D512" s="7" t="s">
        <v>114</v>
      </c>
      <c r="E512" s="7" t="s">
        <v>162</v>
      </c>
      <c r="F512" s="7" t="s">
        <v>95</v>
      </c>
      <c r="G512" s="7" t="s">
        <v>96</v>
      </c>
      <c r="H512" s="7" t="s">
        <v>258</v>
      </c>
      <c r="I512" s="7" t="s">
        <v>259</v>
      </c>
      <c r="J512" s="8" t="n">
        <v>45925</v>
      </c>
      <c r="K512" s="8" t="n">
        <v>45988</v>
      </c>
      <c r="L512" s="9" t="n">
        <f aca="false">K512-J512</f>
        <v>63</v>
      </c>
      <c r="M512" s="10" t="n">
        <v>72311.86</v>
      </c>
      <c r="N512" s="7" t="s">
        <v>99</v>
      </c>
      <c r="O512" s="7" t="s">
        <v>118</v>
      </c>
      <c r="P512" s="7"/>
      <c r="Q512" s="7"/>
      <c r="R512" s="7"/>
    </row>
    <row r="513" customFormat="false" ht="15" hidden="false" customHeight="false" outlineLevel="0" collapsed="false">
      <c r="A513" s="7" t="s">
        <v>1024</v>
      </c>
      <c r="B513" s="7" t="s">
        <v>256</v>
      </c>
      <c r="C513" s="7" t="s">
        <v>257</v>
      </c>
      <c r="D513" s="7" t="s">
        <v>135</v>
      </c>
      <c r="E513" s="7" t="s">
        <v>162</v>
      </c>
      <c r="F513" s="7" t="s">
        <v>106</v>
      </c>
      <c r="G513" s="7" t="s">
        <v>96</v>
      </c>
      <c r="H513" s="7" t="s">
        <v>402</v>
      </c>
      <c r="I513" s="7" t="s">
        <v>403</v>
      </c>
      <c r="J513" s="8" t="n">
        <v>45945</v>
      </c>
      <c r="K513" s="8" t="n">
        <v>45989</v>
      </c>
      <c r="L513" s="9" t="n">
        <f aca="false">K513-J513</f>
        <v>44</v>
      </c>
      <c r="M513" s="10" t="n">
        <v>43369.19</v>
      </c>
      <c r="N513" s="7" t="s">
        <v>131</v>
      </c>
      <c r="O513" s="7"/>
      <c r="P513" s="8" t="n">
        <v>46009</v>
      </c>
      <c r="Q513" s="7" t="n">
        <v>2</v>
      </c>
      <c r="R513" s="8" t="n">
        <f aca="false">EDATE(P513,Q513)</f>
        <v>46071</v>
      </c>
    </row>
    <row r="514" customFormat="false" ht="15" hidden="false" customHeight="false" outlineLevel="0" collapsed="false">
      <c r="A514" s="7" t="s">
        <v>1025</v>
      </c>
      <c r="B514" s="7" t="s">
        <v>1026</v>
      </c>
      <c r="C514" s="7" t="s">
        <v>1027</v>
      </c>
      <c r="D514" s="7" t="s">
        <v>93</v>
      </c>
      <c r="E514" s="7" t="s">
        <v>162</v>
      </c>
      <c r="F514" s="7" t="s">
        <v>116</v>
      </c>
      <c r="G514" s="7" t="s">
        <v>137</v>
      </c>
      <c r="H514" s="7" t="s">
        <v>97</v>
      </c>
      <c r="I514" s="7" t="s">
        <v>98</v>
      </c>
      <c r="J514" s="8" t="n">
        <v>45905</v>
      </c>
      <c r="K514" s="8" t="n">
        <v>45990</v>
      </c>
      <c r="L514" s="9" t="n">
        <f aca="false">K514-J514</f>
        <v>85</v>
      </c>
      <c r="M514" s="10" t="n">
        <v>157451.54</v>
      </c>
      <c r="N514" s="7" t="s">
        <v>131</v>
      </c>
      <c r="O514" s="7"/>
      <c r="P514" s="8" t="n">
        <v>46005</v>
      </c>
      <c r="Q514" s="7" t="n">
        <v>6</v>
      </c>
      <c r="R514" s="8" t="n">
        <f aca="false">EDATE(P514,Q514)</f>
        <v>46187</v>
      </c>
    </row>
    <row r="515" customFormat="false" ht="15" hidden="false" customHeight="false" outlineLevel="0" collapsed="false">
      <c r="A515" s="7" t="s">
        <v>1028</v>
      </c>
      <c r="B515" s="7" t="s">
        <v>337</v>
      </c>
      <c r="C515" s="7" t="s">
        <v>338</v>
      </c>
      <c r="D515" s="7" t="s">
        <v>201</v>
      </c>
      <c r="E515" s="7" t="s">
        <v>94</v>
      </c>
      <c r="F515" s="7" t="s">
        <v>116</v>
      </c>
      <c r="G515" s="7" t="s">
        <v>96</v>
      </c>
      <c r="H515" s="7" t="s">
        <v>180</v>
      </c>
      <c r="I515" s="7" t="s">
        <v>181</v>
      </c>
      <c r="J515" s="8" t="n">
        <v>45901</v>
      </c>
      <c r="K515" s="8" t="n">
        <v>45990</v>
      </c>
      <c r="L515" s="9" t="n">
        <f aca="false">K515-J515</f>
        <v>89</v>
      </c>
      <c r="M515" s="10" t="n">
        <v>129820.11</v>
      </c>
      <c r="N515" s="7" t="s">
        <v>99</v>
      </c>
      <c r="O515" s="7" t="s">
        <v>110</v>
      </c>
      <c r="P515" s="7"/>
      <c r="Q515" s="7"/>
      <c r="R515" s="7"/>
    </row>
    <row r="516" customFormat="false" ht="15" hidden="false" customHeight="false" outlineLevel="0" collapsed="false">
      <c r="A516" s="7" t="s">
        <v>1029</v>
      </c>
      <c r="B516" s="7" t="s">
        <v>606</v>
      </c>
      <c r="C516" s="7" t="s">
        <v>607</v>
      </c>
      <c r="D516" s="7" t="s">
        <v>135</v>
      </c>
      <c r="E516" s="7" t="s">
        <v>105</v>
      </c>
      <c r="F516" s="7" t="s">
        <v>143</v>
      </c>
      <c r="G516" s="7" t="s">
        <v>117</v>
      </c>
      <c r="H516" s="7" t="s">
        <v>122</v>
      </c>
      <c r="I516" s="7" t="s">
        <v>123</v>
      </c>
      <c r="J516" s="8" t="n">
        <v>45912</v>
      </c>
      <c r="K516" s="8" t="n">
        <v>45990</v>
      </c>
      <c r="L516" s="9" t="n">
        <f aca="false">K516-J516</f>
        <v>78</v>
      </c>
      <c r="M516" s="10" t="n">
        <v>204176.6</v>
      </c>
      <c r="N516" s="7" t="s">
        <v>99</v>
      </c>
      <c r="O516" s="7" t="s">
        <v>110</v>
      </c>
      <c r="P516" s="7"/>
      <c r="Q516" s="7"/>
      <c r="R516" s="7"/>
    </row>
    <row r="517" customFormat="false" ht="15" hidden="false" customHeight="false" outlineLevel="0" collapsed="false">
      <c r="A517" s="7" t="s">
        <v>1030</v>
      </c>
      <c r="B517" s="7" t="s">
        <v>412</v>
      </c>
      <c r="C517" s="7" t="s">
        <v>413</v>
      </c>
      <c r="D517" s="7" t="s">
        <v>151</v>
      </c>
      <c r="E517" s="7" t="s">
        <v>115</v>
      </c>
      <c r="F517" s="7" t="s">
        <v>95</v>
      </c>
      <c r="G517" s="7" t="s">
        <v>176</v>
      </c>
      <c r="H517" s="7" t="s">
        <v>196</v>
      </c>
      <c r="I517" s="7" t="s">
        <v>197</v>
      </c>
      <c r="J517" s="8" t="n">
        <v>45938</v>
      </c>
      <c r="K517" s="8" t="n">
        <v>45991</v>
      </c>
      <c r="L517" s="9" t="n">
        <f aca="false">K517-J517</f>
        <v>53</v>
      </c>
      <c r="M517" s="10" t="n">
        <v>43604.31</v>
      </c>
      <c r="N517" s="7" t="s">
        <v>131</v>
      </c>
      <c r="O517" s="7"/>
      <c r="P517" s="8" t="n">
        <v>46011</v>
      </c>
      <c r="Q517" s="7" t="n">
        <v>2</v>
      </c>
      <c r="R517" s="8" t="n">
        <f aca="false">EDATE(P517,Q517)</f>
        <v>46073</v>
      </c>
    </row>
    <row r="518" customFormat="false" ht="15" hidden="false" customHeight="false" outlineLevel="0" collapsed="false">
      <c r="A518" s="7" t="s">
        <v>1031</v>
      </c>
      <c r="B518" s="7" t="s">
        <v>291</v>
      </c>
      <c r="C518" s="7" t="s">
        <v>292</v>
      </c>
      <c r="D518" s="7" t="s">
        <v>201</v>
      </c>
      <c r="E518" s="7" t="s">
        <v>94</v>
      </c>
      <c r="F518" s="7" t="s">
        <v>106</v>
      </c>
      <c r="G518" s="7" t="s">
        <v>144</v>
      </c>
      <c r="H518" s="7" t="s">
        <v>278</v>
      </c>
      <c r="I518" s="7" t="s">
        <v>279</v>
      </c>
      <c r="J518" s="8" t="n">
        <v>45914</v>
      </c>
      <c r="K518" s="8" t="n">
        <v>45992</v>
      </c>
      <c r="L518" s="9" t="n">
        <f aca="false">K518-J518</f>
        <v>78</v>
      </c>
      <c r="M518" s="10" t="n">
        <v>57593.47</v>
      </c>
      <c r="N518" s="7" t="s">
        <v>131</v>
      </c>
      <c r="O518" s="7"/>
      <c r="P518" s="8" t="n">
        <v>45997</v>
      </c>
      <c r="Q518" s="7" t="n">
        <v>4</v>
      </c>
      <c r="R518" s="8" t="n">
        <f aca="false">EDATE(P518,Q518)</f>
        <v>46118</v>
      </c>
    </row>
    <row r="519" customFormat="false" ht="15" hidden="false" customHeight="false" outlineLevel="0" collapsed="false">
      <c r="A519" s="7" t="s">
        <v>1032</v>
      </c>
      <c r="B519" s="7" t="s">
        <v>273</v>
      </c>
      <c r="C519" s="7" t="s">
        <v>274</v>
      </c>
      <c r="D519" s="7" t="s">
        <v>195</v>
      </c>
      <c r="E519" s="7" t="s">
        <v>94</v>
      </c>
      <c r="F519" s="7" t="s">
        <v>106</v>
      </c>
      <c r="G519" s="7" t="s">
        <v>107</v>
      </c>
      <c r="H519" s="7" t="s">
        <v>166</v>
      </c>
      <c r="I519" s="7" t="s">
        <v>167</v>
      </c>
      <c r="J519" s="8" t="n">
        <v>45928</v>
      </c>
      <c r="K519" s="8" t="n">
        <v>45994</v>
      </c>
      <c r="L519" s="9" t="n">
        <f aca="false">K519-J519</f>
        <v>66</v>
      </c>
      <c r="M519" s="10" t="n">
        <v>50851.03</v>
      </c>
      <c r="N519" s="7" t="s">
        <v>99</v>
      </c>
      <c r="O519" s="7" t="s">
        <v>100</v>
      </c>
      <c r="P519" s="7"/>
      <c r="Q519" s="7"/>
      <c r="R519" s="7"/>
    </row>
    <row r="520" customFormat="false" ht="15" hidden="false" customHeight="false" outlineLevel="0" collapsed="false">
      <c r="A520" s="7" t="s">
        <v>1033</v>
      </c>
      <c r="B520" s="7" t="s">
        <v>276</v>
      </c>
      <c r="C520" s="7" t="s">
        <v>277</v>
      </c>
      <c r="D520" s="7" t="s">
        <v>114</v>
      </c>
      <c r="E520" s="7" t="s">
        <v>162</v>
      </c>
      <c r="F520" s="7" t="s">
        <v>157</v>
      </c>
      <c r="G520" s="7" t="s">
        <v>117</v>
      </c>
      <c r="H520" s="7" t="s">
        <v>129</v>
      </c>
      <c r="I520" s="7" t="s">
        <v>130</v>
      </c>
      <c r="J520" s="8" t="n">
        <v>45902</v>
      </c>
      <c r="K520" s="8" t="n">
        <v>45994</v>
      </c>
      <c r="L520" s="9" t="n">
        <f aca="false">K520-J520</f>
        <v>92</v>
      </c>
      <c r="M520" s="10" t="n">
        <v>85441.68</v>
      </c>
      <c r="N520" s="7" t="s">
        <v>131</v>
      </c>
      <c r="O520" s="7"/>
      <c r="P520" s="8" t="n">
        <v>46007</v>
      </c>
      <c r="Q520" s="7" t="n">
        <v>3</v>
      </c>
      <c r="R520" s="8" t="n">
        <f aca="false">EDATE(P520,Q520)</f>
        <v>46097</v>
      </c>
    </row>
    <row r="521" customFormat="false" ht="15" hidden="false" customHeight="false" outlineLevel="0" collapsed="false">
      <c r="A521" s="7" t="s">
        <v>1034</v>
      </c>
      <c r="B521" s="7" t="s">
        <v>193</v>
      </c>
      <c r="C521" s="7" t="s">
        <v>194</v>
      </c>
      <c r="D521" s="7" t="s">
        <v>195</v>
      </c>
      <c r="E521" s="7" t="s">
        <v>115</v>
      </c>
      <c r="F521" s="7" t="s">
        <v>183</v>
      </c>
      <c r="G521" s="7" t="s">
        <v>176</v>
      </c>
      <c r="H521" s="7" t="s">
        <v>305</v>
      </c>
      <c r="I521" s="7" t="s">
        <v>306</v>
      </c>
      <c r="J521" s="8" t="n">
        <v>45918</v>
      </c>
      <c r="K521" s="8" t="n">
        <v>45995</v>
      </c>
      <c r="L521" s="9" t="n">
        <f aca="false">K521-J521</f>
        <v>77</v>
      </c>
      <c r="M521" s="10" t="n">
        <v>132486.47</v>
      </c>
      <c r="N521" s="7" t="s">
        <v>99</v>
      </c>
      <c r="O521" s="7" t="s">
        <v>219</v>
      </c>
      <c r="P521" s="7"/>
      <c r="Q521" s="7"/>
      <c r="R521" s="7"/>
    </row>
    <row r="522" customFormat="false" ht="15" hidden="false" customHeight="false" outlineLevel="0" collapsed="false">
      <c r="A522" s="7" t="s">
        <v>1035</v>
      </c>
      <c r="B522" s="7" t="s">
        <v>463</v>
      </c>
      <c r="C522" s="7" t="s">
        <v>464</v>
      </c>
      <c r="D522" s="7" t="s">
        <v>151</v>
      </c>
      <c r="E522" s="7" t="s">
        <v>115</v>
      </c>
      <c r="F522" s="7" t="s">
        <v>128</v>
      </c>
      <c r="G522" s="7" t="s">
        <v>107</v>
      </c>
      <c r="H522" s="7" t="s">
        <v>305</v>
      </c>
      <c r="I522" s="7" t="s">
        <v>306</v>
      </c>
      <c r="J522" s="8" t="n">
        <v>45932</v>
      </c>
      <c r="K522" s="8" t="n">
        <v>45996</v>
      </c>
      <c r="L522" s="9" t="n">
        <f aca="false">K522-J522</f>
        <v>64</v>
      </c>
      <c r="M522" s="10" t="n">
        <v>62112.88</v>
      </c>
      <c r="N522" s="7" t="s">
        <v>99</v>
      </c>
      <c r="O522" s="7" t="s">
        <v>110</v>
      </c>
      <c r="P522" s="7"/>
      <c r="Q522" s="7"/>
      <c r="R522" s="7"/>
    </row>
    <row r="523" customFormat="false" ht="15" hidden="false" customHeight="false" outlineLevel="0" collapsed="false">
      <c r="A523" s="7" t="s">
        <v>1036</v>
      </c>
      <c r="B523" s="7" t="s">
        <v>378</v>
      </c>
      <c r="C523" s="7" t="s">
        <v>379</v>
      </c>
      <c r="D523" s="7" t="s">
        <v>93</v>
      </c>
      <c r="E523" s="7" t="s">
        <v>94</v>
      </c>
      <c r="F523" s="7" t="s">
        <v>116</v>
      </c>
      <c r="G523" s="7" t="s">
        <v>107</v>
      </c>
      <c r="H523" s="7" t="s">
        <v>171</v>
      </c>
      <c r="I523" s="7" t="s">
        <v>172</v>
      </c>
      <c r="J523" s="8" t="n">
        <v>45898</v>
      </c>
      <c r="K523" s="8" t="n">
        <v>45996</v>
      </c>
      <c r="L523" s="9" t="n">
        <f aca="false">K523-J523</f>
        <v>98</v>
      </c>
      <c r="M523" s="10" t="n">
        <v>244775.8</v>
      </c>
      <c r="N523" s="7" t="s">
        <v>99</v>
      </c>
      <c r="O523" s="7" t="s">
        <v>124</v>
      </c>
      <c r="P523" s="7"/>
      <c r="Q523" s="7"/>
      <c r="R523" s="7"/>
    </row>
    <row r="524" customFormat="false" ht="15" hidden="false" customHeight="false" outlineLevel="0" collapsed="false">
      <c r="A524" s="7" t="s">
        <v>1037</v>
      </c>
      <c r="B524" s="7" t="s">
        <v>427</v>
      </c>
      <c r="C524" s="7" t="s">
        <v>428</v>
      </c>
      <c r="D524" s="7" t="s">
        <v>151</v>
      </c>
      <c r="E524" s="7" t="s">
        <v>94</v>
      </c>
      <c r="F524" s="7" t="s">
        <v>143</v>
      </c>
      <c r="G524" s="7" t="s">
        <v>96</v>
      </c>
      <c r="H524" s="7" t="s">
        <v>281</v>
      </c>
      <c r="I524" s="7" t="s">
        <v>282</v>
      </c>
      <c r="J524" s="8" t="n">
        <v>45911</v>
      </c>
      <c r="K524" s="8" t="n">
        <v>45997</v>
      </c>
      <c r="L524" s="9" t="n">
        <f aca="false">K524-J524</f>
        <v>86</v>
      </c>
      <c r="M524" s="10" t="n">
        <v>136722.44</v>
      </c>
      <c r="N524" s="7" t="s">
        <v>131</v>
      </c>
      <c r="O524" s="7"/>
      <c r="P524" s="8" t="n">
        <v>46014</v>
      </c>
      <c r="Q524" s="7" t="n">
        <v>6</v>
      </c>
      <c r="R524" s="8" t="n">
        <f aca="false">EDATE(P524,Q524)</f>
        <v>46196</v>
      </c>
    </row>
    <row r="525" customFormat="false" ht="15" hidden="false" customHeight="false" outlineLevel="0" collapsed="false">
      <c r="A525" s="7" t="s">
        <v>1038</v>
      </c>
      <c r="B525" s="7" t="s">
        <v>343</v>
      </c>
      <c r="C525" s="7" t="s">
        <v>344</v>
      </c>
      <c r="D525" s="7" t="s">
        <v>93</v>
      </c>
      <c r="E525" s="7" t="s">
        <v>94</v>
      </c>
      <c r="F525" s="7" t="s">
        <v>128</v>
      </c>
      <c r="G525" s="7" t="s">
        <v>96</v>
      </c>
      <c r="H525" s="7" t="s">
        <v>171</v>
      </c>
      <c r="I525" s="7" t="s">
        <v>172</v>
      </c>
      <c r="J525" s="8" t="n">
        <v>45878</v>
      </c>
      <c r="K525" s="8" t="n">
        <v>46001</v>
      </c>
      <c r="L525" s="9" t="n">
        <f aca="false">K525-J525</f>
        <v>123</v>
      </c>
      <c r="M525" s="10" t="n">
        <v>108753.57</v>
      </c>
      <c r="N525" s="7" t="s">
        <v>131</v>
      </c>
      <c r="O525" s="7"/>
      <c r="P525" s="8" t="n">
        <v>46004</v>
      </c>
      <c r="Q525" s="7" t="n">
        <v>1</v>
      </c>
      <c r="R525" s="8" t="n">
        <f aca="false">EDATE(P525,Q525)</f>
        <v>46035</v>
      </c>
    </row>
    <row r="526" customFormat="false" ht="15" hidden="false" customHeight="false" outlineLevel="0" collapsed="false">
      <c r="A526" s="7" t="s">
        <v>1039</v>
      </c>
      <c r="B526" s="7" t="s">
        <v>193</v>
      </c>
      <c r="C526" s="7" t="s">
        <v>194</v>
      </c>
      <c r="D526" s="7" t="s">
        <v>195</v>
      </c>
      <c r="E526" s="7" t="s">
        <v>115</v>
      </c>
      <c r="F526" s="7" t="s">
        <v>136</v>
      </c>
      <c r="G526" s="7" t="s">
        <v>184</v>
      </c>
      <c r="H526" s="7" t="s">
        <v>129</v>
      </c>
      <c r="I526" s="7" t="s">
        <v>130</v>
      </c>
      <c r="J526" s="8" t="n">
        <v>45895</v>
      </c>
      <c r="K526" s="8" t="n">
        <v>46001</v>
      </c>
      <c r="L526" s="9" t="n">
        <f aca="false">K526-J526</f>
        <v>106</v>
      </c>
      <c r="M526" s="10" t="n">
        <v>94583.34</v>
      </c>
      <c r="N526" s="7" t="s">
        <v>99</v>
      </c>
      <c r="O526" s="7" t="s">
        <v>118</v>
      </c>
      <c r="P526" s="7"/>
      <c r="Q526" s="7"/>
      <c r="R526" s="7"/>
    </row>
    <row r="527" customFormat="false" ht="15" hidden="false" customHeight="false" outlineLevel="0" collapsed="false">
      <c r="A527" s="7" t="s">
        <v>1040</v>
      </c>
      <c r="B527" s="7" t="s">
        <v>362</v>
      </c>
      <c r="C527" s="7" t="s">
        <v>363</v>
      </c>
      <c r="D527" s="7" t="s">
        <v>195</v>
      </c>
      <c r="E527" s="7" t="s">
        <v>162</v>
      </c>
      <c r="F527" s="7" t="s">
        <v>116</v>
      </c>
      <c r="G527" s="7" t="s">
        <v>117</v>
      </c>
      <c r="H527" s="7" t="s">
        <v>213</v>
      </c>
      <c r="I527" s="7" t="s">
        <v>214</v>
      </c>
      <c r="J527" s="8" t="n">
        <v>45933</v>
      </c>
      <c r="K527" s="8" t="n">
        <v>46003</v>
      </c>
      <c r="L527" s="9" t="n">
        <f aca="false">K527-J527</f>
        <v>70</v>
      </c>
      <c r="M527" s="10" t="n">
        <v>134662.27</v>
      </c>
      <c r="N527" s="7" t="s">
        <v>99</v>
      </c>
      <c r="O527" s="7" t="s">
        <v>110</v>
      </c>
      <c r="P527" s="7"/>
      <c r="Q527" s="7"/>
      <c r="R527" s="7"/>
    </row>
    <row r="528" customFormat="false" ht="15" hidden="false" customHeight="false" outlineLevel="0" collapsed="false">
      <c r="A528" s="7" t="s">
        <v>1041</v>
      </c>
      <c r="B528" s="7" t="s">
        <v>334</v>
      </c>
      <c r="C528" s="7" t="s">
        <v>335</v>
      </c>
      <c r="D528" s="7" t="s">
        <v>242</v>
      </c>
      <c r="E528" s="7" t="s">
        <v>162</v>
      </c>
      <c r="F528" s="7" t="s">
        <v>143</v>
      </c>
      <c r="G528" s="7" t="s">
        <v>184</v>
      </c>
      <c r="H528" s="7" t="s">
        <v>196</v>
      </c>
      <c r="I528" s="7" t="s">
        <v>197</v>
      </c>
      <c r="J528" s="8" t="n">
        <v>45843</v>
      </c>
      <c r="K528" s="8" t="n">
        <v>46003</v>
      </c>
      <c r="L528" s="9" t="n">
        <f aca="false">K528-J528</f>
        <v>160</v>
      </c>
      <c r="M528" s="10" t="n">
        <v>353410.62</v>
      </c>
      <c r="N528" s="7" t="s">
        <v>99</v>
      </c>
      <c r="O528" s="7" t="s">
        <v>100</v>
      </c>
      <c r="P528" s="7"/>
      <c r="Q528" s="7"/>
      <c r="R528" s="7"/>
    </row>
    <row r="529" customFormat="false" ht="15" hidden="false" customHeight="false" outlineLevel="0" collapsed="false">
      <c r="A529" s="7" t="s">
        <v>1042</v>
      </c>
      <c r="B529" s="7" t="s">
        <v>284</v>
      </c>
      <c r="C529" s="7" t="s">
        <v>285</v>
      </c>
      <c r="D529" s="7" t="s">
        <v>201</v>
      </c>
      <c r="E529" s="7" t="s">
        <v>105</v>
      </c>
      <c r="F529" s="7" t="s">
        <v>136</v>
      </c>
      <c r="G529" s="7" t="s">
        <v>96</v>
      </c>
      <c r="H529" s="7" t="s">
        <v>305</v>
      </c>
      <c r="I529" s="7" t="s">
        <v>306</v>
      </c>
      <c r="J529" s="8" t="n">
        <v>45939</v>
      </c>
      <c r="K529" s="8" t="n">
        <v>46006</v>
      </c>
      <c r="L529" s="9" t="n">
        <f aca="false">K529-J529</f>
        <v>67</v>
      </c>
      <c r="M529" s="10" t="n">
        <v>73799.1</v>
      </c>
      <c r="N529" s="7" t="s">
        <v>99</v>
      </c>
      <c r="O529" s="7" t="s">
        <v>118</v>
      </c>
      <c r="P529" s="7"/>
      <c r="Q529" s="7"/>
      <c r="R529" s="7"/>
    </row>
    <row r="530" customFormat="false" ht="15" hidden="false" customHeight="false" outlineLevel="0" collapsed="false">
      <c r="A530" s="7" t="s">
        <v>1043</v>
      </c>
      <c r="B530" s="7" t="s">
        <v>395</v>
      </c>
      <c r="C530" s="7" t="s">
        <v>396</v>
      </c>
      <c r="D530" s="7" t="s">
        <v>195</v>
      </c>
      <c r="E530" s="7" t="s">
        <v>162</v>
      </c>
      <c r="F530" s="7" t="s">
        <v>128</v>
      </c>
      <c r="G530" s="7" t="s">
        <v>96</v>
      </c>
      <c r="H530" s="7" t="s">
        <v>223</v>
      </c>
      <c r="I530" s="7" t="s">
        <v>224</v>
      </c>
      <c r="J530" s="8" t="n">
        <v>45900</v>
      </c>
      <c r="K530" s="8" t="n">
        <v>46006</v>
      </c>
      <c r="L530" s="9" t="n">
        <f aca="false">K530-J530</f>
        <v>106</v>
      </c>
      <c r="M530" s="10" t="n">
        <v>25678.02</v>
      </c>
      <c r="N530" s="7" t="s">
        <v>99</v>
      </c>
      <c r="O530" s="7" t="s">
        <v>110</v>
      </c>
      <c r="P530" s="7"/>
      <c r="Q530" s="7"/>
      <c r="R530" s="7"/>
    </row>
    <row r="531" customFormat="false" ht="15" hidden="false" customHeight="false" outlineLevel="0" collapsed="false">
      <c r="A531" s="7" t="s">
        <v>1044</v>
      </c>
      <c r="B531" s="7" t="s">
        <v>276</v>
      </c>
      <c r="C531" s="7" t="s">
        <v>277</v>
      </c>
      <c r="D531" s="7" t="s">
        <v>114</v>
      </c>
      <c r="E531" s="7" t="s">
        <v>162</v>
      </c>
      <c r="F531" s="7" t="s">
        <v>183</v>
      </c>
      <c r="G531" s="7" t="s">
        <v>144</v>
      </c>
      <c r="H531" s="7" t="s">
        <v>129</v>
      </c>
      <c r="I531" s="7" t="s">
        <v>130</v>
      </c>
      <c r="J531" s="8" t="n">
        <v>45928</v>
      </c>
      <c r="K531" s="8" t="n">
        <v>46007</v>
      </c>
      <c r="L531" s="9" t="n">
        <f aca="false">K531-J531</f>
        <v>79</v>
      </c>
      <c r="M531" s="10" t="n">
        <v>128876.19</v>
      </c>
      <c r="N531" s="7" t="s">
        <v>99</v>
      </c>
      <c r="O531" s="7" t="s">
        <v>110</v>
      </c>
      <c r="P531" s="7"/>
      <c r="Q531" s="7"/>
      <c r="R531" s="7"/>
    </row>
    <row r="532" customFormat="false" ht="15" hidden="false" customHeight="false" outlineLevel="0" collapsed="false">
      <c r="A532" s="7" t="s">
        <v>1045</v>
      </c>
      <c r="B532" s="7" t="s">
        <v>234</v>
      </c>
      <c r="C532" s="7" t="s">
        <v>235</v>
      </c>
      <c r="D532" s="7" t="s">
        <v>114</v>
      </c>
      <c r="E532" s="7" t="s">
        <v>115</v>
      </c>
      <c r="F532" s="7" t="s">
        <v>157</v>
      </c>
      <c r="G532" s="7" t="s">
        <v>96</v>
      </c>
      <c r="H532" s="7" t="s">
        <v>97</v>
      </c>
      <c r="I532" s="7" t="s">
        <v>98</v>
      </c>
      <c r="J532" s="8" t="n">
        <v>45909</v>
      </c>
      <c r="K532" s="8" t="n">
        <v>46008</v>
      </c>
      <c r="L532" s="9" t="n">
        <f aca="false">K532-J532</f>
        <v>99</v>
      </c>
      <c r="M532" s="10" t="n">
        <v>58625.97</v>
      </c>
      <c r="N532" s="7" t="s">
        <v>99</v>
      </c>
      <c r="O532" s="7" t="s">
        <v>219</v>
      </c>
      <c r="P532" s="7"/>
      <c r="Q532" s="7"/>
      <c r="R532" s="7"/>
    </row>
    <row r="533" customFormat="false" ht="15" hidden="false" customHeight="false" outlineLevel="0" collapsed="false">
      <c r="A533" s="7" t="s">
        <v>1046</v>
      </c>
      <c r="B533" s="7" t="s">
        <v>834</v>
      </c>
      <c r="C533" s="7" t="s">
        <v>835</v>
      </c>
      <c r="D533" s="7" t="s">
        <v>93</v>
      </c>
      <c r="E533" s="7" t="s">
        <v>162</v>
      </c>
      <c r="F533" s="7" t="s">
        <v>143</v>
      </c>
      <c r="G533" s="7" t="s">
        <v>96</v>
      </c>
      <c r="H533" s="7" t="s">
        <v>305</v>
      </c>
      <c r="I533" s="7" t="s">
        <v>306</v>
      </c>
      <c r="J533" s="8" t="n">
        <v>45940</v>
      </c>
      <c r="K533" s="8" t="n">
        <v>46008</v>
      </c>
      <c r="L533" s="9" t="n">
        <f aca="false">K533-J533</f>
        <v>68</v>
      </c>
      <c r="M533" s="10" t="n">
        <v>132392.39</v>
      </c>
      <c r="N533" s="7" t="s">
        <v>131</v>
      </c>
      <c r="O533" s="7"/>
      <c r="P533" s="8" t="n">
        <v>46014</v>
      </c>
      <c r="Q533" s="7" t="n">
        <v>5</v>
      </c>
      <c r="R533" s="8" t="n">
        <f aca="false">EDATE(P533,Q533)</f>
        <v>46165</v>
      </c>
    </row>
    <row r="534" customFormat="false" ht="15" hidden="false" customHeight="false" outlineLevel="0" collapsed="false">
      <c r="A534" s="7" t="s">
        <v>1047</v>
      </c>
      <c r="B534" s="7" t="s">
        <v>149</v>
      </c>
      <c r="C534" s="7" t="s">
        <v>150</v>
      </c>
      <c r="D534" s="7" t="s">
        <v>151</v>
      </c>
      <c r="E534" s="7" t="s">
        <v>94</v>
      </c>
      <c r="F534" s="7" t="s">
        <v>143</v>
      </c>
      <c r="G534" s="7" t="s">
        <v>176</v>
      </c>
      <c r="H534" s="7" t="s">
        <v>305</v>
      </c>
      <c r="I534" s="7" t="s">
        <v>306</v>
      </c>
      <c r="J534" s="8" t="n">
        <v>45958</v>
      </c>
      <c r="K534" s="8" t="n">
        <v>46009</v>
      </c>
      <c r="L534" s="9" t="n">
        <f aca="false">K534-J534</f>
        <v>51</v>
      </c>
      <c r="M534" s="10" t="n">
        <v>164769.95</v>
      </c>
      <c r="N534" s="7" t="s">
        <v>99</v>
      </c>
      <c r="O534" s="7" t="s">
        <v>147</v>
      </c>
      <c r="P534" s="7"/>
      <c r="Q534" s="7"/>
      <c r="R534" s="7"/>
    </row>
    <row r="535" customFormat="false" ht="15" hidden="false" customHeight="false" outlineLevel="0" collapsed="false">
      <c r="A535" s="7" t="s">
        <v>1048</v>
      </c>
      <c r="B535" s="7" t="s">
        <v>769</v>
      </c>
      <c r="C535" s="7" t="s">
        <v>770</v>
      </c>
      <c r="D535" s="7" t="s">
        <v>114</v>
      </c>
      <c r="E535" s="7" t="s">
        <v>162</v>
      </c>
      <c r="F535" s="7" t="s">
        <v>116</v>
      </c>
      <c r="G535" s="7" t="s">
        <v>137</v>
      </c>
      <c r="H535" s="7" t="s">
        <v>402</v>
      </c>
      <c r="I535" s="7" t="s">
        <v>403</v>
      </c>
      <c r="J535" s="8" t="n">
        <v>45950</v>
      </c>
      <c r="K535" s="8" t="n">
        <v>46010</v>
      </c>
      <c r="L535" s="9" t="n">
        <f aca="false">K535-J535</f>
        <v>60</v>
      </c>
      <c r="M535" s="10" t="n">
        <v>101609.79</v>
      </c>
      <c r="N535" s="7" t="s">
        <v>99</v>
      </c>
      <c r="O535" s="7" t="s">
        <v>147</v>
      </c>
      <c r="P535" s="7"/>
      <c r="Q535" s="7"/>
      <c r="R535" s="7"/>
    </row>
    <row r="536" customFormat="false" ht="15" hidden="false" customHeight="false" outlineLevel="0" collapsed="false">
      <c r="A536" s="7" t="s">
        <v>1049</v>
      </c>
      <c r="B536" s="7" t="s">
        <v>629</v>
      </c>
      <c r="C536" s="7" t="s">
        <v>630</v>
      </c>
      <c r="D536" s="7" t="s">
        <v>151</v>
      </c>
      <c r="E536" s="7" t="s">
        <v>162</v>
      </c>
      <c r="F536" s="7" t="s">
        <v>136</v>
      </c>
      <c r="G536" s="7" t="s">
        <v>137</v>
      </c>
      <c r="H536" s="7" t="s">
        <v>180</v>
      </c>
      <c r="I536" s="7" t="s">
        <v>181</v>
      </c>
      <c r="J536" s="8" t="n">
        <v>45936</v>
      </c>
      <c r="K536" s="8" t="n">
        <v>46010</v>
      </c>
      <c r="L536" s="9" t="n">
        <f aca="false">K536-J536</f>
        <v>74</v>
      </c>
      <c r="M536" s="10" t="n">
        <v>84477.92</v>
      </c>
      <c r="N536" s="7" t="s">
        <v>99</v>
      </c>
      <c r="O536" s="7" t="s">
        <v>219</v>
      </c>
      <c r="P536" s="7"/>
      <c r="Q536" s="7"/>
      <c r="R536" s="7"/>
    </row>
    <row r="537" customFormat="false" ht="15" hidden="false" customHeight="false" outlineLevel="0" collapsed="false">
      <c r="A537" s="7" t="s">
        <v>1050</v>
      </c>
      <c r="B537" s="7" t="s">
        <v>1051</v>
      </c>
      <c r="C537" s="7" t="s">
        <v>1052</v>
      </c>
      <c r="D537" s="7" t="s">
        <v>151</v>
      </c>
      <c r="E537" s="7" t="s">
        <v>105</v>
      </c>
      <c r="F537" s="7" t="s">
        <v>157</v>
      </c>
      <c r="G537" s="7" t="s">
        <v>117</v>
      </c>
      <c r="H537" s="7" t="s">
        <v>223</v>
      </c>
      <c r="I537" s="7" t="s">
        <v>224</v>
      </c>
      <c r="J537" s="8" t="n">
        <v>45934</v>
      </c>
      <c r="K537" s="8" t="n">
        <v>46012</v>
      </c>
      <c r="L537" s="9" t="n">
        <f aca="false">K537-J537</f>
        <v>78</v>
      </c>
      <c r="M537" s="10" t="n">
        <v>132418.33</v>
      </c>
      <c r="N537" s="7" t="s">
        <v>99</v>
      </c>
      <c r="O537" s="7" t="s">
        <v>118</v>
      </c>
      <c r="P537" s="7"/>
      <c r="Q537" s="7"/>
      <c r="R537" s="7"/>
    </row>
    <row r="538" customFormat="false" ht="15" hidden="false" customHeight="false" outlineLevel="0" collapsed="false">
      <c r="A538" s="7" t="s">
        <v>1053</v>
      </c>
      <c r="B538" s="7" t="s">
        <v>315</v>
      </c>
      <c r="C538" s="7" t="s">
        <v>316</v>
      </c>
      <c r="D538" s="7" t="s">
        <v>195</v>
      </c>
      <c r="E538" s="7" t="s">
        <v>162</v>
      </c>
      <c r="F538" s="7" t="s">
        <v>95</v>
      </c>
      <c r="G538" s="7" t="s">
        <v>107</v>
      </c>
      <c r="H538" s="7" t="s">
        <v>213</v>
      </c>
      <c r="I538" s="7" t="s">
        <v>214</v>
      </c>
      <c r="J538" s="8" t="n">
        <v>45894</v>
      </c>
      <c r="K538" s="8" t="n">
        <v>46014</v>
      </c>
      <c r="L538" s="9" t="n">
        <f aca="false">K538-J538</f>
        <v>120</v>
      </c>
      <c r="M538" s="10" t="n">
        <v>80128.12</v>
      </c>
      <c r="N538" s="7" t="s">
        <v>99</v>
      </c>
      <c r="O538" s="7" t="s">
        <v>100</v>
      </c>
      <c r="P538" s="7"/>
      <c r="Q538" s="7"/>
      <c r="R538" s="7"/>
    </row>
    <row r="539" customFormat="false" ht="15" hidden="false" customHeight="false" outlineLevel="0" collapsed="false">
      <c r="A539" s="7" t="s">
        <v>1054</v>
      </c>
      <c r="B539" s="7" t="s">
        <v>724</v>
      </c>
      <c r="C539" s="7" t="s">
        <v>725</v>
      </c>
      <c r="D539" s="7" t="s">
        <v>195</v>
      </c>
      <c r="E539" s="7" t="s">
        <v>115</v>
      </c>
      <c r="F539" s="7" t="s">
        <v>143</v>
      </c>
      <c r="G539" s="7" t="s">
        <v>144</v>
      </c>
      <c r="H539" s="7" t="s">
        <v>278</v>
      </c>
      <c r="I539" s="7" t="s">
        <v>279</v>
      </c>
      <c r="J539" s="8" t="n">
        <v>45949</v>
      </c>
      <c r="K539" s="8" t="n">
        <v>46015</v>
      </c>
      <c r="L539" s="9" t="n">
        <f aca="false">K539-J539</f>
        <v>66</v>
      </c>
      <c r="M539" s="10" t="n">
        <v>46815.37</v>
      </c>
      <c r="N539" s="7" t="s">
        <v>99</v>
      </c>
      <c r="O539" s="7" t="s">
        <v>110</v>
      </c>
      <c r="P539" s="7"/>
      <c r="Q539" s="7"/>
      <c r="R539" s="7"/>
    </row>
    <row r="540" customFormat="false" ht="15" hidden="false" customHeight="false" outlineLevel="0" collapsed="false">
      <c r="A540" s="7" t="s">
        <v>1055</v>
      </c>
      <c r="B540" s="7" t="s">
        <v>1056</v>
      </c>
      <c r="C540" s="7" t="s">
        <v>1057</v>
      </c>
      <c r="D540" s="7" t="s">
        <v>195</v>
      </c>
      <c r="E540" s="7" t="s">
        <v>105</v>
      </c>
      <c r="F540" s="7" t="s">
        <v>95</v>
      </c>
      <c r="G540" s="7" t="s">
        <v>144</v>
      </c>
      <c r="H540" s="7" t="s">
        <v>305</v>
      </c>
      <c r="I540" s="7" t="s">
        <v>306</v>
      </c>
      <c r="J540" s="8" t="n">
        <v>45962</v>
      </c>
      <c r="K540" s="8" t="n">
        <v>46015</v>
      </c>
      <c r="L540" s="9" t="n">
        <f aca="false">K540-J540</f>
        <v>53</v>
      </c>
      <c r="M540" s="10" t="n">
        <v>24348.69</v>
      </c>
      <c r="N540" s="7" t="s">
        <v>99</v>
      </c>
      <c r="O540" s="7" t="s">
        <v>110</v>
      </c>
      <c r="P540" s="7"/>
      <c r="Q540" s="7"/>
      <c r="R540" s="7"/>
    </row>
    <row r="541" customFormat="false" ht="15" hidden="false" customHeight="false" outlineLevel="0" collapsed="false">
      <c r="A541" s="7" t="s">
        <v>1058</v>
      </c>
      <c r="B541" s="7" t="s">
        <v>1059</v>
      </c>
      <c r="C541" s="7" t="s">
        <v>1060</v>
      </c>
      <c r="D541" s="7" t="s">
        <v>104</v>
      </c>
      <c r="E541" s="7" t="s">
        <v>105</v>
      </c>
      <c r="F541" s="7" t="s">
        <v>116</v>
      </c>
      <c r="G541" s="7" t="s">
        <v>176</v>
      </c>
      <c r="H541" s="7" t="s">
        <v>281</v>
      </c>
      <c r="I541" s="7" t="s">
        <v>282</v>
      </c>
      <c r="J541" s="8" t="n">
        <v>45909</v>
      </c>
      <c r="K541" s="8" t="n">
        <v>46017</v>
      </c>
      <c r="L541" s="9" t="n">
        <f aca="false">K541-J541</f>
        <v>108</v>
      </c>
      <c r="M541" s="10" t="n">
        <v>162551.64</v>
      </c>
      <c r="N541" s="7" t="s">
        <v>131</v>
      </c>
      <c r="O541" s="7"/>
      <c r="P541" s="8" t="n">
        <v>46038</v>
      </c>
      <c r="Q541" s="7" t="n">
        <v>7</v>
      </c>
      <c r="R541" s="8" t="n">
        <f aca="false">EDATE(P541,Q541)</f>
        <v>46250</v>
      </c>
    </row>
    <row r="542" customFormat="false" ht="15" hidden="false" customHeight="false" outlineLevel="0" collapsed="false">
      <c r="A542" s="7" t="s">
        <v>1061</v>
      </c>
      <c r="B542" s="7" t="s">
        <v>211</v>
      </c>
      <c r="C542" s="7" t="s">
        <v>212</v>
      </c>
      <c r="D542" s="7" t="s">
        <v>201</v>
      </c>
      <c r="E542" s="7" t="s">
        <v>105</v>
      </c>
      <c r="F542" s="7" t="s">
        <v>116</v>
      </c>
      <c r="G542" s="7" t="s">
        <v>176</v>
      </c>
      <c r="H542" s="7" t="s">
        <v>196</v>
      </c>
      <c r="I542" s="7" t="s">
        <v>197</v>
      </c>
      <c r="J542" s="8" t="n">
        <v>45954</v>
      </c>
      <c r="K542" s="8" t="n">
        <v>46018</v>
      </c>
      <c r="L542" s="9" t="n">
        <f aca="false">K542-J542</f>
        <v>64</v>
      </c>
      <c r="M542" s="10" t="n">
        <v>50200.64</v>
      </c>
      <c r="N542" s="7" t="s">
        <v>99</v>
      </c>
      <c r="O542" s="7" t="s">
        <v>124</v>
      </c>
      <c r="P542" s="7"/>
      <c r="Q542" s="7"/>
      <c r="R542" s="7"/>
    </row>
    <row r="543" customFormat="false" ht="15" hidden="false" customHeight="false" outlineLevel="0" collapsed="false">
      <c r="A543" s="7" t="s">
        <v>1062</v>
      </c>
      <c r="B543" s="7" t="s">
        <v>321</v>
      </c>
      <c r="C543" s="7" t="s">
        <v>322</v>
      </c>
      <c r="D543" s="7" t="s">
        <v>201</v>
      </c>
      <c r="E543" s="7" t="s">
        <v>94</v>
      </c>
      <c r="F543" s="7" t="s">
        <v>183</v>
      </c>
      <c r="G543" s="7" t="s">
        <v>176</v>
      </c>
      <c r="H543" s="7" t="s">
        <v>281</v>
      </c>
      <c r="I543" s="7" t="s">
        <v>282</v>
      </c>
      <c r="J543" s="8" t="n">
        <v>45941</v>
      </c>
      <c r="K543" s="8" t="n">
        <v>46018</v>
      </c>
      <c r="L543" s="9" t="n">
        <f aca="false">K543-J543</f>
        <v>77</v>
      </c>
      <c r="M543" s="10" t="n">
        <v>155689.31</v>
      </c>
      <c r="N543" s="7" t="s">
        <v>99</v>
      </c>
      <c r="O543" s="7" t="s">
        <v>110</v>
      </c>
      <c r="P543" s="7"/>
      <c r="Q543" s="7"/>
      <c r="R543" s="7"/>
    </row>
    <row r="544" customFormat="false" ht="15" hidden="false" customHeight="false" outlineLevel="0" collapsed="false">
      <c r="A544" s="7" t="s">
        <v>1063</v>
      </c>
      <c r="B544" s="7" t="s">
        <v>687</v>
      </c>
      <c r="C544" s="7" t="s">
        <v>688</v>
      </c>
      <c r="D544" s="7" t="s">
        <v>135</v>
      </c>
      <c r="E544" s="7" t="s">
        <v>115</v>
      </c>
      <c r="F544" s="7" t="s">
        <v>106</v>
      </c>
      <c r="G544" s="7" t="s">
        <v>137</v>
      </c>
      <c r="H544" s="7" t="s">
        <v>166</v>
      </c>
      <c r="I544" s="7" t="s">
        <v>167</v>
      </c>
      <c r="J544" s="8" t="n">
        <v>45932</v>
      </c>
      <c r="K544" s="8" t="n">
        <v>46018</v>
      </c>
      <c r="L544" s="9" t="n">
        <f aca="false">K544-J544</f>
        <v>86</v>
      </c>
      <c r="M544" s="10" t="n">
        <v>54412.03</v>
      </c>
      <c r="N544" s="7" t="s">
        <v>99</v>
      </c>
      <c r="O544" s="7" t="s">
        <v>147</v>
      </c>
      <c r="P544" s="7"/>
      <c r="Q544" s="7"/>
      <c r="R544" s="7"/>
    </row>
    <row r="545" customFormat="false" ht="15" hidden="false" customHeight="false" outlineLevel="0" collapsed="false">
      <c r="A545" s="7" t="s">
        <v>1064</v>
      </c>
      <c r="B545" s="7" t="s">
        <v>391</v>
      </c>
      <c r="C545" s="7" t="s">
        <v>392</v>
      </c>
      <c r="D545" s="7" t="s">
        <v>104</v>
      </c>
      <c r="E545" s="7" t="s">
        <v>115</v>
      </c>
      <c r="F545" s="7" t="s">
        <v>128</v>
      </c>
      <c r="G545" s="7" t="s">
        <v>137</v>
      </c>
      <c r="H545" s="7" t="s">
        <v>231</v>
      </c>
      <c r="I545" s="7" t="s">
        <v>232</v>
      </c>
      <c r="J545" s="8" t="n">
        <v>45974</v>
      </c>
      <c r="K545" s="8" t="n">
        <v>46020</v>
      </c>
      <c r="L545" s="9" t="n">
        <f aca="false">K545-J545</f>
        <v>46</v>
      </c>
      <c r="M545" s="10" t="n">
        <v>24025.77</v>
      </c>
      <c r="N545" s="7" t="s">
        <v>99</v>
      </c>
      <c r="O545" s="7" t="s">
        <v>219</v>
      </c>
      <c r="P545" s="7"/>
      <c r="Q545" s="7"/>
      <c r="R545" s="7"/>
    </row>
    <row r="546" customFormat="false" ht="15" hidden="false" customHeight="false" outlineLevel="0" collapsed="false">
      <c r="A546" s="7" t="s">
        <v>1065</v>
      </c>
      <c r="B546" s="7" t="s">
        <v>427</v>
      </c>
      <c r="C546" s="7" t="s">
        <v>428</v>
      </c>
      <c r="D546" s="7" t="s">
        <v>151</v>
      </c>
      <c r="E546" s="7" t="s">
        <v>94</v>
      </c>
      <c r="F546" s="7" t="s">
        <v>128</v>
      </c>
      <c r="G546" s="7" t="s">
        <v>137</v>
      </c>
      <c r="H546" s="7" t="s">
        <v>185</v>
      </c>
      <c r="I546" s="7" t="s">
        <v>186</v>
      </c>
      <c r="J546" s="8" t="n">
        <v>45938</v>
      </c>
      <c r="K546" s="8" t="n">
        <v>46022</v>
      </c>
      <c r="L546" s="9" t="n">
        <f aca="false">K546-J546</f>
        <v>84</v>
      </c>
      <c r="M546" s="10" t="n">
        <v>127529</v>
      </c>
      <c r="N546" s="7" t="s">
        <v>99</v>
      </c>
      <c r="O546" s="7" t="s">
        <v>124</v>
      </c>
      <c r="P546" s="7"/>
      <c r="Q546" s="7"/>
      <c r="R546" s="7"/>
    </row>
    <row r="547" customFormat="false" ht="15" hidden="false" customHeight="false" outlineLevel="0" collapsed="false">
      <c r="A547" s="7" t="s">
        <v>1066</v>
      </c>
      <c r="B547" s="7" t="s">
        <v>388</v>
      </c>
      <c r="C547" s="7" t="s">
        <v>389</v>
      </c>
      <c r="D547" s="7" t="s">
        <v>201</v>
      </c>
      <c r="E547" s="7" t="s">
        <v>94</v>
      </c>
      <c r="F547" s="7" t="s">
        <v>106</v>
      </c>
      <c r="G547" s="7" t="s">
        <v>117</v>
      </c>
      <c r="H547" s="7" t="s">
        <v>180</v>
      </c>
      <c r="I547" s="7" t="s">
        <v>181</v>
      </c>
      <c r="J547" s="8" t="n">
        <v>45938</v>
      </c>
      <c r="K547" s="8" t="n">
        <v>46024</v>
      </c>
      <c r="L547" s="9" t="n">
        <f aca="false">K547-J547</f>
        <v>86</v>
      </c>
      <c r="M547" s="10" t="n">
        <v>126475.88</v>
      </c>
      <c r="N547" s="7" t="s">
        <v>99</v>
      </c>
      <c r="O547" s="7" t="s">
        <v>219</v>
      </c>
      <c r="P547" s="7"/>
      <c r="Q547" s="7"/>
      <c r="R547" s="7"/>
    </row>
    <row r="548" customFormat="false" ht="15" hidden="false" customHeight="false" outlineLevel="0" collapsed="false">
      <c r="A548" s="7" t="s">
        <v>1067</v>
      </c>
      <c r="B548" s="7" t="s">
        <v>268</v>
      </c>
      <c r="C548" s="7" t="s">
        <v>269</v>
      </c>
      <c r="D548" s="7" t="s">
        <v>104</v>
      </c>
      <c r="E548" s="7" t="s">
        <v>105</v>
      </c>
      <c r="F548" s="7" t="s">
        <v>136</v>
      </c>
      <c r="G548" s="7" t="s">
        <v>107</v>
      </c>
      <c r="H548" s="7" t="s">
        <v>231</v>
      </c>
      <c r="I548" s="7" t="s">
        <v>232</v>
      </c>
      <c r="J548" s="8" t="n">
        <v>45933</v>
      </c>
      <c r="K548" s="8" t="n">
        <v>46026</v>
      </c>
      <c r="L548" s="9" t="n">
        <f aca="false">K548-J548</f>
        <v>93</v>
      </c>
      <c r="M548" s="10" t="n">
        <v>149541.18</v>
      </c>
      <c r="N548" s="7" t="s">
        <v>99</v>
      </c>
      <c r="O548" s="7" t="s">
        <v>147</v>
      </c>
      <c r="P548" s="7"/>
      <c r="Q548" s="7"/>
      <c r="R548" s="7"/>
    </row>
    <row r="549" customFormat="false" ht="15" hidden="false" customHeight="false" outlineLevel="0" collapsed="false">
      <c r="A549" s="7" t="s">
        <v>1068</v>
      </c>
      <c r="B549" s="7" t="s">
        <v>1069</v>
      </c>
      <c r="C549" s="7" t="s">
        <v>1070</v>
      </c>
      <c r="D549" s="7" t="s">
        <v>201</v>
      </c>
      <c r="E549" s="7" t="s">
        <v>94</v>
      </c>
      <c r="F549" s="7" t="s">
        <v>95</v>
      </c>
      <c r="G549" s="7" t="s">
        <v>117</v>
      </c>
      <c r="H549" s="7" t="s">
        <v>231</v>
      </c>
      <c r="I549" s="7" t="s">
        <v>232</v>
      </c>
      <c r="J549" s="8" t="n">
        <v>45956</v>
      </c>
      <c r="K549" s="8" t="n">
        <v>46026</v>
      </c>
      <c r="L549" s="9" t="n">
        <f aca="false">K549-J549</f>
        <v>70</v>
      </c>
      <c r="M549" s="10" t="n">
        <v>60671.49</v>
      </c>
      <c r="N549" s="7" t="s">
        <v>99</v>
      </c>
      <c r="O549" s="7" t="s">
        <v>147</v>
      </c>
      <c r="P549" s="7"/>
      <c r="Q549" s="7"/>
      <c r="R549" s="7"/>
    </row>
    <row r="550" customFormat="false" ht="15" hidden="false" customHeight="false" outlineLevel="0" collapsed="false">
      <c r="A550" s="7" t="s">
        <v>1071</v>
      </c>
      <c r="B550" s="7" t="s">
        <v>372</v>
      </c>
      <c r="C550" s="7" t="s">
        <v>373</v>
      </c>
      <c r="D550" s="7" t="s">
        <v>242</v>
      </c>
      <c r="E550" s="7" t="s">
        <v>105</v>
      </c>
      <c r="F550" s="7" t="s">
        <v>116</v>
      </c>
      <c r="G550" s="7" t="s">
        <v>137</v>
      </c>
      <c r="H550" s="7" t="s">
        <v>122</v>
      </c>
      <c r="I550" s="7" t="s">
        <v>123</v>
      </c>
      <c r="J550" s="8" t="n">
        <v>45985</v>
      </c>
      <c r="K550" s="8" t="n">
        <v>46027</v>
      </c>
      <c r="L550" s="9" t="n">
        <f aca="false">K550-J550</f>
        <v>42</v>
      </c>
      <c r="M550" s="10" t="n">
        <v>140380.14</v>
      </c>
      <c r="N550" s="7" t="s">
        <v>131</v>
      </c>
      <c r="O550" s="7"/>
      <c r="P550" s="8" t="n">
        <v>46034</v>
      </c>
      <c r="Q550" s="7" t="n">
        <v>4</v>
      </c>
      <c r="R550" s="8" t="n">
        <f aca="false">EDATE(P550,Q550)</f>
        <v>46154</v>
      </c>
    </row>
    <row r="551" customFormat="false" ht="15" hidden="false" customHeight="false" outlineLevel="0" collapsed="false">
      <c r="A551" s="7" t="s">
        <v>1072</v>
      </c>
      <c r="B551" s="7" t="s">
        <v>234</v>
      </c>
      <c r="C551" s="7" t="s">
        <v>235</v>
      </c>
      <c r="D551" s="7" t="s">
        <v>114</v>
      </c>
      <c r="E551" s="7" t="s">
        <v>115</v>
      </c>
      <c r="F551" s="7" t="s">
        <v>116</v>
      </c>
      <c r="G551" s="7" t="s">
        <v>96</v>
      </c>
      <c r="H551" s="7" t="s">
        <v>190</v>
      </c>
      <c r="I551" s="7" t="s">
        <v>191</v>
      </c>
      <c r="J551" s="8" t="n">
        <v>45983</v>
      </c>
      <c r="K551" s="8" t="n">
        <v>46027</v>
      </c>
      <c r="L551" s="9" t="n">
        <f aca="false">K551-J551</f>
        <v>44</v>
      </c>
      <c r="M551" s="10" t="n">
        <v>21610.34</v>
      </c>
      <c r="N551" s="7" t="s">
        <v>99</v>
      </c>
      <c r="O551" s="7" t="s">
        <v>124</v>
      </c>
      <c r="P551" s="7"/>
      <c r="Q551" s="7"/>
      <c r="R551" s="7"/>
    </row>
    <row r="552" customFormat="false" ht="15" hidden="false" customHeight="false" outlineLevel="0" collapsed="false">
      <c r="A552" s="7" t="s">
        <v>1073</v>
      </c>
      <c r="B552" s="7" t="s">
        <v>1074</v>
      </c>
      <c r="C552" s="7" t="s">
        <v>1075</v>
      </c>
      <c r="D552" s="7" t="s">
        <v>242</v>
      </c>
      <c r="E552" s="7" t="s">
        <v>115</v>
      </c>
      <c r="F552" s="7" t="s">
        <v>106</v>
      </c>
      <c r="G552" s="7" t="s">
        <v>176</v>
      </c>
      <c r="H552" s="7" t="s">
        <v>152</v>
      </c>
      <c r="I552" s="7" t="s">
        <v>153</v>
      </c>
      <c r="J552" s="8" t="n">
        <v>45932</v>
      </c>
      <c r="K552" s="8" t="n">
        <v>46028</v>
      </c>
      <c r="L552" s="9" t="n">
        <f aca="false">K552-J552</f>
        <v>96</v>
      </c>
      <c r="M552" s="10" t="n">
        <v>195293.82</v>
      </c>
      <c r="N552" s="7" t="s">
        <v>131</v>
      </c>
      <c r="O552" s="7"/>
      <c r="P552" s="8" t="n">
        <v>46040</v>
      </c>
      <c r="Q552" s="7" t="n">
        <v>4</v>
      </c>
      <c r="R552" s="8" t="n">
        <f aca="false">EDATE(P552,Q552)</f>
        <v>46160</v>
      </c>
    </row>
    <row r="553" customFormat="false" ht="15" hidden="false" customHeight="false" outlineLevel="0" collapsed="false">
      <c r="A553" s="7" t="s">
        <v>1076</v>
      </c>
      <c r="B553" s="7" t="s">
        <v>347</v>
      </c>
      <c r="C553" s="7" t="s">
        <v>348</v>
      </c>
      <c r="D553" s="7" t="s">
        <v>151</v>
      </c>
      <c r="E553" s="7" t="s">
        <v>94</v>
      </c>
      <c r="F553" s="7" t="s">
        <v>136</v>
      </c>
      <c r="G553" s="7" t="s">
        <v>117</v>
      </c>
      <c r="H553" s="7" t="s">
        <v>196</v>
      </c>
      <c r="I553" s="7" t="s">
        <v>197</v>
      </c>
      <c r="J553" s="8" t="n">
        <v>45913</v>
      </c>
      <c r="K553" s="8" t="n">
        <v>46028</v>
      </c>
      <c r="L553" s="9" t="n">
        <f aca="false">K553-J553</f>
        <v>115</v>
      </c>
      <c r="M553" s="10" t="n">
        <v>119522.72</v>
      </c>
      <c r="N553" s="7" t="s">
        <v>99</v>
      </c>
      <c r="O553" s="7" t="s">
        <v>219</v>
      </c>
      <c r="P553" s="7"/>
      <c r="Q553" s="7"/>
      <c r="R553" s="7"/>
    </row>
    <row r="554" customFormat="false" ht="15" hidden="false" customHeight="false" outlineLevel="0" collapsed="false">
      <c r="A554" s="7" t="s">
        <v>1077</v>
      </c>
      <c r="B554" s="7" t="s">
        <v>790</v>
      </c>
      <c r="C554" s="7" t="s">
        <v>791</v>
      </c>
      <c r="D554" s="7" t="s">
        <v>93</v>
      </c>
      <c r="E554" s="7" t="s">
        <v>115</v>
      </c>
      <c r="F554" s="7" t="s">
        <v>183</v>
      </c>
      <c r="G554" s="7" t="s">
        <v>117</v>
      </c>
      <c r="H554" s="7" t="s">
        <v>278</v>
      </c>
      <c r="I554" s="7" t="s">
        <v>279</v>
      </c>
      <c r="J554" s="8" t="n">
        <v>45957</v>
      </c>
      <c r="K554" s="8" t="n">
        <v>46029</v>
      </c>
      <c r="L554" s="9" t="n">
        <f aca="false">K554-J554</f>
        <v>72</v>
      </c>
      <c r="M554" s="10" t="n">
        <v>125514.58</v>
      </c>
      <c r="N554" s="7" t="s">
        <v>131</v>
      </c>
      <c r="O554" s="7"/>
      <c r="P554" s="8" t="n">
        <v>46034</v>
      </c>
      <c r="Q554" s="7" t="n">
        <v>3</v>
      </c>
      <c r="R554" s="8" t="n">
        <f aca="false">EDATE(P554,Q554)</f>
        <v>46124</v>
      </c>
    </row>
    <row r="555" customFormat="false" ht="15" hidden="false" customHeight="false" outlineLevel="0" collapsed="false">
      <c r="A555" s="7" t="s">
        <v>1078</v>
      </c>
      <c r="B555" s="7" t="s">
        <v>160</v>
      </c>
      <c r="C555" s="7" t="s">
        <v>161</v>
      </c>
      <c r="D555" s="7" t="s">
        <v>151</v>
      </c>
      <c r="E555" s="7" t="s">
        <v>162</v>
      </c>
      <c r="F555" s="7" t="s">
        <v>128</v>
      </c>
      <c r="G555" s="7" t="s">
        <v>176</v>
      </c>
      <c r="H555" s="7" t="s">
        <v>152</v>
      </c>
      <c r="I555" s="7" t="s">
        <v>153</v>
      </c>
      <c r="J555" s="8" t="n">
        <v>45969</v>
      </c>
      <c r="K555" s="8" t="n">
        <v>46030</v>
      </c>
      <c r="L555" s="9" t="n">
        <f aca="false">K555-J555</f>
        <v>61</v>
      </c>
      <c r="M555" s="10" t="n">
        <v>79052.79</v>
      </c>
      <c r="N555" s="7" t="s">
        <v>99</v>
      </c>
      <c r="O555" s="7" t="s">
        <v>147</v>
      </c>
      <c r="P555" s="7"/>
      <c r="Q555" s="7"/>
      <c r="R555" s="7"/>
    </row>
    <row r="556" customFormat="false" ht="15" hidden="false" customHeight="false" outlineLevel="0" collapsed="false">
      <c r="A556" s="7" t="s">
        <v>1079</v>
      </c>
      <c r="B556" s="7" t="s">
        <v>1080</v>
      </c>
      <c r="C556" s="7" t="s">
        <v>1081</v>
      </c>
      <c r="D556" s="7" t="s">
        <v>93</v>
      </c>
      <c r="E556" s="7" t="s">
        <v>115</v>
      </c>
      <c r="F556" s="7" t="s">
        <v>183</v>
      </c>
      <c r="G556" s="7" t="s">
        <v>96</v>
      </c>
      <c r="H556" s="7" t="s">
        <v>196</v>
      </c>
      <c r="I556" s="7" t="s">
        <v>197</v>
      </c>
      <c r="J556" s="8" t="n">
        <v>45920</v>
      </c>
      <c r="K556" s="8" t="n">
        <v>46031</v>
      </c>
      <c r="L556" s="9" t="n">
        <f aca="false">K556-J556</f>
        <v>111</v>
      </c>
      <c r="M556" s="10" t="n">
        <v>100067.05</v>
      </c>
      <c r="N556" s="7" t="s">
        <v>99</v>
      </c>
      <c r="O556" s="7" t="s">
        <v>110</v>
      </c>
      <c r="P556" s="7"/>
      <c r="Q556" s="7"/>
      <c r="R556" s="7"/>
    </row>
    <row r="557" customFormat="false" ht="15" hidden="false" customHeight="false" outlineLevel="0" collapsed="false">
      <c r="A557" s="7" t="s">
        <v>1082</v>
      </c>
      <c r="B557" s="7" t="s">
        <v>126</v>
      </c>
      <c r="C557" s="7" t="s">
        <v>127</v>
      </c>
      <c r="D557" s="7" t="s">
        <v>104</v>
      </c>
      <c r="E557" s="7" t="s">
        <v>105</v>
      </c>
      <c r="F557" s="7" t="s">
        <v>116</v>
      </c>
      <c r="G557" s="7" t="s">
        <v>184</v>
      </c>
      <c r="H557" s="7" t="s">
        <v>258</v>
      </c>
      <c r="I557" s="7" t="s">
        <v>259</v>
      </c>
      <c r="J557" s="8" t="n">
        <v>45964</v>
      </c>
      <c r="K557" s="8" t="n">
        <v>46032</v>
      </c>
      <c r="L557" s="9" t="n">
        <f aca="false">K557-J557</f>
        <v>68</v>
      </c>
      <c r="M557" s="10" t="n">
        <v>58277.91</v>
      </c>
      <c r="N557" s="7" t="s">
        <v>99</v>
      </c>
      <c r="O557" s="7" t="s">
        <v>110</v>
      </c>
      <c r="P557" s="7"/>
      <c r="Q557" s="7"/>
      <c r="R557" s="7"/>
    </row>
    <row r="558" customFormat="false" ht="15" hidden="false" customHeight="false" outlineLevel="0" collapsed="false">
      <c r="A558" s="7" t="s">
        <v>1083</v>
      </c>
      <c r="B558" s="7" t="s">
        <v>391</v>
      </c>
      <c r="C558" s="7" t="s">
        <v>392</v>
      </c>
      <c r="D558" s="7" t="s">
        <v>104</v>
      </c>
      <c r="E558" s="7" t="s">
        <v>115</v>
      </c>
      <c r="F558" s="7" t="s">
        <v>116</v>
      </c>
      <c r="G558" s="7" t="s">
        <v>117</v>
      </c>
      <c r="H558" s="7" t="s">
        <v>177</v>
      </c>
      <c r="I558" s="7" t="s">
        <v>178</v>
      </c>
      <c r="J558" s="8" t="n">
        <v>45993</v>
      </c>
      <c r="K558" s="8" t="n">
        <v>46033</v>
      </c>
      <c r="L558" s="9" t="n">
        <f aca="false">K558-J558</f>
        <v>40</v>
      </c>
      <c r="M558" s="10" t="n">
        <v>56312.37</v>
      </c>
      <c r="N558" s="7" t="s">
        <v>99</v>
      </c>
      <c r="O558" s="7" t="s">
        <v>100</v>
      </c>
      <c r="P558" s="7"/>
      <c r="Q558" s="7"/>
      <c r="R558" s="7"/>
    </row>
    <row r="559" customFormat="false" ht="15" hidden="false" customHeight="false" outlineLevel="0" collapsed="false">
      <c r="A559" s="7" t="s">
        <v>1084</v>
      </c>
      <c r="B559" s="7" t="s">
        <v>126</v>
      </c>
      <c r="C559" s="7" t="s">
        <v>127</v>
      </c>
      <c r="D559" s="7" t="s">
        <v>104</v>
      </c>
      <c r="E559" s="7" t="s">
        <v>105</v>
      </c>
      <c r="F559" s="7" t="s">
        <v>95</v>
      </c>
      <c r="G559" s="7" t="s">
        <v>96</v>
      </c>
      <c r="H559" s="7" t="s">
        <v>402</v>
      </c>
      <c r="I559" s="7" t="s">
        <v>403</v>
      </c>
      <c r="J559" s="8" t="n">
        <v>45961</v>
      </c>
      <c r="K559" s="8" t="n">
        <v>46034</v>
      </c>
      <c r="L559" s="9" t="n">
        <f aca="false">K559-J559</f>
        <v>73</v>
      </c>
      <c r="M559" s="10" t="n">
        <v>164872.79</v>
      </c>
      <c r="N559" s="7" t="s">
        <v>99</v>
      </c>
      <c r="O559" s="7" t="s">
        <v>110</v>
      </c>
      <c r="P559" s="7"/>
      <c r="Q559" s="7"/>
      <c r="R559" s="7"/>
    </row>
    <row r="560" customFormat="false" ht="15" hidden="false" customHeight="false" outlineLevel="0" collapsed="false">
      <c r="A560" s="7" t="s">
        <v>1085</v>
      </c>
      <c r="B560" s="7" t="s">
        <v>724</v>
      </c>
      <c r="C560" s="7" t="s">
        <v>725</v>
      </c>
      <c r="D560" s="7" t="s">
        <v>195</v>
      </c>
      <c r="E560" s="7" t="s">
        <v>115</v>
      </c>
      <c r="F560" s="7" t="s">
        <v>143</v>
      </c>
      <c r="G560" s="7" t="s">
        <v>107</v>
      </c>
      <c r="H560" s="7" t="s">
        <v>258</v>
      </c>
      <c r="I560" s="7" t="s">
        <v>259</v>
      </c>
      <c r="J560" s="8" t="n">
        <v>45975</v>
      </c>
      <c r="K560" s="8" t="n">
        <v>46036</v>
      </c>
      <c r="L560" s="9" t="n">
        <f aca="false">K560-J560</f>
        <v>61</v>
      </c>
      <c r="M560" s="10" t="n">
        <v>86009.27</v>
      </c>
      <c r="N560" s="7" t="s">
        <v>99</v>
      </c>
      <c r="O560" s="7" t="s">
        <v>118</v>
      </c>
      <c r="P560" s="7"/>
      <c r="Q560" s="7"/>
      <c r="R560" s="7"/>
    </row>
    <row r="561" customFormat="false" ht="15" hidden="false" customHeight="false" outlineLevel="0" collapsed="false">
      <c r="A561" s="7" t="s">
        <v>1086</v>
      </c>
      <c r="B561" s="7" t="s">
        <v>193</v>
      </c>
      <c r="C561" s="7" t="s">
        <v>194</v>
      </c>
      <c r="D561" s="7" t="s">
        <v>195</v>
      </c>
      <c r="E561" s="7" t="s">
        <v>115</v>
      </c>
      <c r="F561" s="7" t="s">
        <v>95</v>
      </c>
      <c r="G561" s="7" t="s">
        <v>96</v>
      </c>
      <c r="H561" s="7" t="s">
        <v>138</v>
      </c>
      <c r="I561" s="7" t="s">
        <v>139</v>
      </c>
      <c r="J561" s="8" t="n">
        <v>45968</v>
      </c>
      <c r="K561" s="8" t="n">
        <v>46036</v>
      </c>
      <c r="L561" s="9" t="n">
        <f aca="false">K561-J561</f>
        <v>68</v>
      </c>
      <c r="M561" s="10" t="n">
        <v>80203.45</v>
      </c>
      <c r="N561" s="7" t="s">
        <v>99</v>
      </c>
      <c r="O561" s="7" t="s">
        <v>110</v>
      </c>
      <c r="P561" s="7"/>
      <c r="Q561" s="7"/>
      <c r="R561" s="7"/>
    </row>
    <row r="562" customFormat="false" ht="15" hidden="false" customHeight="false" outlineLevel="0" collapsed="false">
      <c r="A562" s="7" t="s">
        <v>1087</v>
      </c>
      <c r="B562" s="7" t="s">
        <v>674</v>
      </c>
      <c r="C562" s="7" t="s">
        <v>675</v>
      </c>
      <c r="D562" s="7" t="s">
        <v>151</v>
      </c>
      <c r="E562" s="7" t="s">
        <v>105</v>
      </c>
      <c r="F562" s="7" t="s">
        <v>183</v>
      </c>
      <c r="G562" s="7" t="s">
        <v>137</v>
      </c>
      <c r="H562" s="7" t="s">
        <v>185</v>
      </c>
      <c r="I562" s="7" t="s">
        <v>186</v>
      </c>
      <c r="J562" s="8" t="n">
        <v>45948</v>
      </c>
      <c r="K562" s="8" t="n">
        <v>46038</v>
      </c>
      <c r="L562" s="9" t="n">
        <f aca="false">K562-J562</f>
        <v>90</v>
      </c>
      <c r="M562" s="10" t="n">
        <v>121790.84</v>
      </c>
      <c r="N562" s="7" t="s">
        <v>99</v>
      </c>
      <c r="O562" s="7" t="s">
        <v>110</v>
      </c>
      <c r="P562" s="7"/>
      <c r="Q562" s="7"/>
      <c r="R562" s="7"/>
    </row>
    <row r="563" customFormat="false" ht="15" hidden="false" customHeight="false" outlineLevel="0" collapsed="false">
      <c r="A563" s="7" t="s">
        <v>1088</v>
      </c>
      <c r="B563" s="7" t="s">
        <v>188</v>
      </c>
      <c r="C563" s="7" t="s">
        <v>189</v>
      </c>
      <c r="D563" s="7" t="s">
        <v>151</v>
      </c>
      <c r="E563" s="7" t="s">
        <v>105</v>
      </c>
      <c r="F563" s="7" t="s">
        <v>95</v>
      </c>
      <c r="G563" s="7" t="s">
        <v>144</v>
      </c>
      <c r="H563" s="7" t="s">
        <v>278</v>
      </c>
      <c r="I563" s="7" t="s">
        <v>279</v>
      </c>
      <c r="J563" s="8" t="n">
        <v>45962</v>
      </c>
      <c r="K563" s="8" t="n">
        <v>46038</v>
      </c>
      <c r="L563" s="9" t="n">
        <f aca="false">K563-J563</f>
        <v>76</v>
      </c>
      <c r="M563" s="10" t="n">
        <v>143628.32</v>
      </c>
      <c r="N563" s="7" t="s">
        <v>131</v>
      </c>
      <c r="O563" s="7"/>
      <c r="P563" s="8" t="n">
        <v>46048</v>
      </c>
      <c r="Q563" s="7" t="n">
        <v>2</v>
      </c>
      <c r="R563" s="8" t="n">
        <f aca="false">EDATE(P563,Q563)</f>
        <v>46107</v>
      </c>
    </row>
    <row r="564" customFormat="false" ht="15" hidden="false" customHeight="false" outlineLevel="0" collapsed="false">
      <c r="A564" s="7" t="s">
        <v>1089</v>
      </c>
      <c r="B564" s="7" t="s">
        <v>297</v>
      </c>
      <c r="C564" s="7" t="s">
        <v>298</v>
      </c>
      <c r="D564" s="7" t="s">
        <v>201</v>
      </c>
      <c r="E564" s="7" t="s">
        <v>162</v>
      </c>
      <c r="F564" s="7" t="s">
        <v>143</v>
      </c>
      <c r="G564" s="7" t="s">
        <v>144</v>
      </c>
      <c r="H564" s="7" t="s">
        <v>270</v>
      </c>
      <c r="I564" s="7" t="s">
        <v>271</v>
      </c>
      <c r="J564" s="8" t="n">
        <v>45976</v>
      </c>
      <c r="K564" s="8" t="n">
        <v>46039</v>
      </c>
      <c r="L564" s="9" t="n">
        <f aca="false">K564-J564</f>
        <v>63</v>
      </c>
      <c r="M564" s="10" t="n">
        <v>88184.39</v>
      </c>
      <c r="N564" s="7" t="s">
        <v>99</v>
      </c>
      <c r="O564" s="7" t="s">
        <v>100</v>
      </c>
      <c r="P564" s="7"/>
      <c r="Q564" s="7"/>
      <c r="R564" s="7"/>
    </row>
    <row r="565" customFormat="false" ht="15" hidden="false" customHeight="false" outlineLevel="0" collapsed="false">
      <c r="A565" s="7" t="s">
        <v>1090</v>
      </c>
      <c r="B565" s="7" t="s">
        <v>250</v>
      </c>
      <c r="C565" s="7" t="s">
        <v>251</v>
      </c>
      <c r="D565" s="7" t="s">
        <v>195</v>
      </c>
      <c r="E565" s="7" t="s">
        <v>105</v>
      </c>
      <c r="F565" s="7" t="s">
        <v>143</v>
      </c>
      <c r="G565" s="7" t="s">
        <v>96</v>
      </c>
      <c r="H565" s="7" t="s">
        <v>281</v>
      </c>
      <c r="I565" s="7" t="s">
        <v>282</v>
      </c>
      <c r="J565" s="8" t="n">
        <v>45959</v>
      </c>
      <c r="K565" s="8" t="n">
        <v>46039</v>
      </c>
      <c r="L565" s="9" t="n">
        <f aca="false">K565-J565</f>
        <v>80</v>
      </c>
      <c r="M565" s="10" t="n">
        <v>117087.63</v>
      </c>
      <c r="N565" s="7" t="s">
        <v>99</v>
      </c>
      <c r="O565" s="7" t="s">
        <v>147</v>
      </c>
      <c r="P565" s="7"/>
      <c r="Q565" s="7"/>
      <c r="R565" s="7"/>
    </row>
    <row r="566" customFormat="false" ht="15" hidden="false" customHeight="false" outlineLevel="0" collapsed="false">
      <c r="A566" s="7" t="s">
        <v>1091</v>
      </c>
      <c r="B566" s="7" t="s">
        <v>217</v>
      </c>
      <c r="C566" s="7" t="s">
        <v>218</v>
      </c>
      <c r="D566" s="7" t="s">
        <v>104</v>
      </c>
      <c r="E566" s="7" t="s">
        <v>105</v>
      </c>
      <c r="F566" s="7" t="s">
        <v>183</v>
      </c>
      <c r="G566" s="7" t="s">
        <v>176</v>
      </c>
      <c r="H566" s="7" t="s">
        <v>152</v>
      </c>
      <c r="I566" s="7" t="s">
        <v>153</v>
      </c>
      <c r="J566" s="8" t="n">
        <v>45976</v>
      </c>
      <c r="K566" s="8" t="n">
        <v>46039</v>
      </c>
      <c r="L566" s="9" t="n">
        <f aca="false">K566-J566</f>
        <v>63</v>
      </c>
      <c r="M566" s="10" t="n">
        <v>90476.52</v>
      </c>
      <c r="N566" s="7" t="s">
        <v>99</v>
      </c>
      <c r="O566" s="7" t="s">
        <v>219</v>
      </c>
      <c r="P566" s="7"/>
      <c r="Q566" s="7"/>
      <c r="R566" s="7"/>
    </row>
    <row r="567" customFormat="false" ht="15" hidden="false" customHeight="false" outlineLevel="0" collapsed="false">
      <c r="A567" s="7" t="s">
        <v>1092</v>
      </c>
      <c r="B567" s="7" t="s">
        <v>347</v>
      </c>
      <c r="C567" s="7" t="s">
        <v>348</v>
      </c>
      <c r="D567" s="7" t="s">
        <v>151</v>
      </c>
      <c r="E567" s="7" t="s">
        <v>94</v>
      </c>
      <c r="F567" s="7" t="s">
        <v>136</v>
      </c>
      <c r="G567" s="7" t="s">
        <v>117</v>
      </c>
      <c r="H567" s="7" t="s">
        <v>213</v>
      </c>
      <c r="I567" s="7" t="s">
        <v>214</v>
      </c>
      <c r="J567" s="8" t="n">
        <v>45932</v>
      </c>
      <c r="K567" s="8" t="n">
        <v>46046</v>
      </c>
      <c r="L567" s="9" t="n">
        <f aca="false">K567-J567</f>
        <v>114</v>
      </c>
      <c r="M567" s="10" t="n">
        <v>256322.49</v>
      </c>
      <c r="N567" s="7" t="s">
        <v>99</v>
      </c>
      <c r="O567" s="7" t="s">
        <v>100</v>
      </c>
      <c r="P567" s="7"/>
      <c r="Q567" s="7"/>
      <c r="R567" s="7"/>
    </row>
    <row r="568" customFormat="false" ht="15" hidden="false" customHeight="false" outlineLevel="0" collapsed="false">
      <c r="A568" s="7" t="s">
        <v>1093</v>
      </c>
      <c r="B568" s="7" t="s">
        <v>919</v>
      </c>
      <c r="C568" s="7" t="s">
        <v>920</v>
      </c>
      <c r="D568" s="7" t="s">
        <v>114</v>
      </c>
      <c r="E568" s="7" t="s">
        <v>94</v>
      </c>
      <c r="F568" s="7" t="s">
        <v>116</v>
      </c>
      <c r="G568" s="7" t="s">
        <v>107</v>
      </c>
      <c r="H568" s="7" t="s">
        <v>281</v>
      </c>
      <c r="I568" s="7" t="s">
        <v>282</v>
      </c>
      <c r="J568" s="8" t="n">
        <v>45968</v>
      </c>
      <c r="K568" s="8" t="n">
        <v>46048</v>
      </c>
      <c r="L568" s="9" t="n">
        <f aca="false">K568-J568</f>
        <v>80</v>
      </c>
      <c r="M568" s="10" t="n">
        <v>131309.91</v>
      </c>
      <c r="N568" s="7" t="s">
        <v>99</v>
      </c>
      <c r="O568" s="7" t="s">
        <v>124</v>
      </c>
      <c r="P568" s="7"/>
      <c r="Q568" s="7"/>
      <c r="R568" s="7"/>
    </row>
    <row r="569" customFormat="false" ht="15" hidden="false" customHeight="false" outlineLevel="0" collapsed="false">
      <c r="A569" s="7" t="s">
        <v>1094</v>
      </c>
      <c r="B569" s="7" t="s">
        <v>126</v>
      </c>
      <c r="C569" s="7" t="s">
        <v>127</v>
      </c>
      <c r="D569" s="7" t="s">
        <v>104</v>
      </c>
      <c r="E569" s="7" t="s">
        <v>105</v>
      </c>
      <c r="F569" s="7" t="s">
        <v>106</v>
      </c>
      <c r="G569" s="7" t="s">
        <v>96</v>
      </c>
      <c r="H569" s="7" t="s">
        <v>281</v>
      </c>
      <c r="I569" s="7" t="s">
        <v>282</v>
      </c>
      <c r="J569" s="8" t="n">
        <v>45982</v>
      </c>
      <c r="K569" s="8" t="n">
        <v>46048</v>
      </c>
      <c r="L569" s="9" t="n">
        <f aca="false">K569-J569</f>
        <v>66</v>
      </c>
      <c r="M569" s="10" t="n">
        <v>125704.4</v>
      </c>
      <c r="N569" s="7" t="s">
        <v>131</v>
      </c>
      <c r="O569" s="7"/>
      <c r="P569" s="8" t="n">
        <v>46060</v>
      </c>
      <c r="Q569" s="7" t="n">
        <v>3</v>
      </c>
      <c r="R569" s="8" t="n">
        <f aca="false">EDATE(P569,Q569)</f>
        <v>46149</v>
      </c>
    </row>
    <row r="570" customFormat="false" ht="15" hidden="false" customHeight="false" outlineLevel="0" collapsed="false">
      <c r="A570" s="7" t="s">
        <v>1095</v>
      </c>
      <c r="B570" s="7" t="s">
        <v>882</v>
      </c>
      <c r="C570" s="7" t="s">
        <v>883</v>
      </c>
      <c r="D570" s="7" t="s">
        <v>151</v>
      </c>
      <c r="E570" s="7" t="s">
        <v>105</v>
      </c>
      <c r="F570" s="7" t="s">
        <v>116</v>
      </c>
      <c r="G570" s="7" t="s">
        <v>107</v>
      </c>
      <c r="H570" s="7" t="s">
        <v>129</v>
      </c>
      <c r="I570" s="7" t="s">
        <v>130</v>
      </c>
      <c r="J570" s="8" t="n">
        <v>45957</v>
      </c>
      <c r="K570" s="8" t="n">
        <v>46049</v>
      </c>
      <c r="L570" s="9" t="n">
        <f aca="false">K570-J570</f>
        <v>92</v>
      </c>
      <c r="M570" s="10" t="n">
        <v>123010.19</v>
      </c>
      <c r="N570" s="7" t="s">
        <v>99</v>
      </c>
      <c r="O570" s="7" t="s">
        <v>219</v>
      </c>
      <c r="P570" s="7"/>
      <c r="Q570" s="7"/>
      <c r="R570" s="7"/>
    </row>
    <row r="571" customFormat="false" ht="15" hidden="false" customHeight="false" outlineLevel="0" collapsed="false">
      <c r="A571" s="7" t="s">
        <v>1096</v>
      </c>
      <c r="B571" s="7" t="s">
        <v>919</v>
      </c>
      <c r="C571" s="7" t="s">
        <v>920</v>
      </c>
      <c r="D571" s="7" t="s">
        <v>114</v>
      </c>
      <c r="E571" s="7" t="s">
        <v>94</v>
      </c>
      <c r="F571" s="7" t="s">
        <v>136</v>
      </c>
      <c r="G571" s="7" t="s">
        <v>117</v>
      </c>
      <c r="H571" s="7" t="s">
        <v>177</v>
      </c>
      <c r="I571" s="7" t="s">
        <v>178</v>
      </c>
      <c r="J571" s="8" t="n">
        <v>45979</v>
      </c>
      <c r="K571" s="8" t="n">
        <v>46050</v>
      </c>
      <c r="L571" s="9" t="n">
        <f aca="false">K571-J571</f>
        <v>71</v>
      </c>
      <c r="M571" s="10" t="n">
        <v>212923.24</v>
      </c>
      <c r="N571" s="7" t="s">
        <v>99</v>
      </c>
      <c r="O571" s="7" t="s">
        <v>147</v>
      </c>
      <c r="P571" s="7"/>
      <c r="Q571" s="7"/>
      <c r="R571" s="7"/>
    </row>
    <row r="572" customFormat="false" ht="15" hidden="false" customHeight="false" outlineLevel="0" collapsed="false">
      <c r="A572" s="7" t="s">
        <v>1097</v>
      </c>
      <c r="B572" s="7" t="s">
        <v>169</v>
      </c>
      <c r="C572" s="7" t="s">
        <v>170</v>
      </c>
      <c r="D572" s="7" t="s">
        <v>104</v>
      </c>
      <c r="E572" s="7" t="s">
        <v>94</v>
      </c>
      <c r="F572" s="7" t="s">
        <v>95</v>
      </c>
      <c r="G572" s="7" t="s">
        <v>107</v>
      </c>
      <c r="H572" s="7" t="s">
        <v>305</v>
      </c>
      <c r="I572" s="7" t="s">
        <v>306</v>
      </c>
      <c r="J572" s="8" t="n">
        <v>45973</v>
      </c>
      <c r="K572" s="8" t="n">
        <v>46050</v>
      </c>
      <c r="L572" s="9" t="n">
        <f aca="false">K572-J572</f>
        <v>77</v>
      </c>
      <c r="M572" s="10" t="n">
        <v>43369.7</v>
      </c>
      <c r="N572" s="7" t="s">
        <v>131</v>
      </c>
      <c r="O572" s="7"/>
      <c r="P572" s="8" t="n">
        <v>46059</v>
      </c>
      <c r="Q572" s="7" t="n">
        <v>2</v>
      </c>
      <c r="R572" s="8" t="n">
        <f aca="false">EDATE(P572,Q572)</f>
        <v>46118</v>
      </c>
    </row>
    <row r="573" customFormat="false" ht="15" hidden="false" customHeight="false" outlineLevel="0" collapsed="false">
      <c r="A573" s="7" t="s">
        <v>1098</v>
      </c>
      <c r="B573" s="7" t="s">
        <v>592</v>
      </c>
      <c r="C573" s="7" t="s">
        <v>593</v>
      </c>
      <c r="D573" s="7" t="s">
        <v>114</v>
      </c>
      <c r="E573" s="7" t="s">
        <v>162</v>
      </c>
      <c r="F573" s="7" t="s">
        <v>116</v>
      </c>
      <c r="G573" s="7" t="s">
        <v>96</v>
      </c>
      <c r="H573" s="7" t="s">
        <v>281</v>
      </c>
      <c r="I573" s="7" t="s">
        <v>282</v>
      </c>
      <c r="J573" s="8" t="n">
        <v>45958</v>
      </c>
      <c r="K573" s="8" t="n">
        <v>46050</v>
      </c>
      <c r="L573" s="9" t="n">
        <f aca="false">K573-J573</f>
        <v>92</v>
      </c>
      <c r="M573" s="10" t="n">
        <v>159557.15</v>
      </c>
      <c r="N573" s="7" t="s">
        <v>99</v>
      </c>
      <c r="O573" s="7" t="s">
        <v>100</v>
      </c>
      <c r="P573" s="7"/>
      <c r="Q573" s="7"/>
      <c r="R573" s="7"/>
    </row>
    <row r="574" customFormat="false" ht="15" hidden="false" customHeight="false" outlineLevel="0" collapsed="false">
      <c r="A574" s="7" t="s">
        <v>1099</v>
      </c>
      <c r="B574" s="7" t="s">
        <v>211</v>
      </c>
      <c r="C574" s="7" t="s">
        <v>212</v>
      </c>
      <c r="D574" s="7" t="s">
        <v>201</v>
      </c>
      <c r="E574" s="7" t="s">
        <v>105</v>
      </c>
      <c r="F574" s="7" t="s">
        <v>143</v>
      </c>
      <c r="G574" s="7" t="s">
        <v>144</v>
      </c>
      <c r="H574" s="7" t="s">
        <v>281</v>
      </c>
      <c r="I574" s="7" t="s">
        <v>282</v>
      </c>
      <c r="J574" s="8" t="n">
        <v>45971</v>
      </c>
      <c r="K574" s="8" t="n">
        <v>46051</v>
      </c>
      <c r="L574" s="9" t="n">
        <f aca="false">K574-J574</f>
        <v>80</v>
      </c>
      <c r="M574" s="10" t="n">
        <v>68766.35</v>
      </c>
      <c r="N574" s="7" t="s">
        <v>99</v>
      </c>
      <c r="O574" s="7" t="s">
        <v>147</v>
      </c>
      <c r="P574" s="7"/>
      <c r="Q574" s="7"/>
      <c r="R574" s="7"/>
    </row>
    <row r="575" customFormat="false" ht="15" hidden="false" customHeight="false" outlineLevel="0" collapsed="false">
      <c r="A575" s="7" t="s">
        <v>1100</v>
      </c>
      <c r="B575" s="7" t="s">
        <v>253</v>
      </c>
      <c r="C575" s="7" t="s">
        <v>254</v>
      </c>
      <c r="D575" s="7" t="s">
        <v>242</v>
      </c>
      <c r="E575" s="7" t="s">
        <v>105</v>
      </c>
      <c r="F575" s="7" t="s">
        <v>128</v>
      </c>
      <c r="G575" s="7" t="s">
        <v>96</v>
      </c>
      <c r="H575" s="7" t="s">
        <v>97</v>
      </c>
      <c r="I575" s="7" t="s">
        <v>98</v>
      </c>
      <c r="J575" s="8" t="n">
        <v>45965</v>
      </c>
      <c r="K575" s="8" t="n">
        <v>46051</v>
      </c>
      <c r="L575" s="9" t="n">
        <f aca="false">K575-J575</f>
        <v>86</v>
      </c>
      <c r="M575" s="10" t="n">
        <v>50793.9</v>
      </c>
      <c r="N575" s="7" t="s">
        <v>99</v>
      </c>
      <c r="O575" s="7" t="s">
        <v>110</v>
      </c>
      <c r="P575" s="7"/>
      <c r="Q575" s="7"/>
      <c r="R575" s="7"/>
    </row>
    <row r="576" customFormat="false" ht="15" hidden="false" customHeight="false" outlineLevel="0" collapsed="false">
      <c r="A576" s="7" t="s">
        <v>1101</v>
      </c>
      <c r="B576" s="7" t="s">
        <v>645</v>
      </c>
      <c r="C576" s="7" t="s">
        <v>646</v>
      </c>
      <c r="D576" s="7" t="s">
        <v>242</v>
      </c>
      <c r="E576" s="7" t="s">
        <v>162</v>
      </c>
      <c r="F576" s="7" t="s">
        <v>136</v>
      </c>
      <c r="G576" s="7" t="s">
        <v>107</v>
      </c>
      <c r="H576" s="7" t="s">
        <v>196</v>
      </c>
      <c r="I576" s="7" t="s">
        <v>197</v>
      </c>
      <c r="J576" s="8" t="n">
        <v>45959</v>
      </c>
      <c r="K576" s="8" t="n">
        <v>46053</v>
      </c>
      <c r="L576" s="9" t="n">
        <f aca="false">K576-J576</f>
        <v>94</v>
      </c>
      <c r="M576" s="10" t="n">
        <v>85640.4</v>
      </c>
      <c r="N576" s="7" t="s">
        <v>99</v>
      </c>
      <c r="O576" s="7" t="s">
        <v>118</v>
      </c>
      <c r="P576" s="7"/>
      <c r="Q576" s="7"/>
      <c r="R576" s="7"/>
    </row>
    <row r="577" customFormat="false" ht="15" hidden="false" customHeight="false" outlineLevel="0" collapsed="false">
      <c r="A577" s="7" t="s">
        <v>1102</v>
      </c>
      <c r="B577" s="7" t="s">
        <v>845</v>
      </c>
      <c r="C577" s="7" t="s">
        <v>846</v>
      </c>
      <c r="D577" s="7" t="s">
        <v>93</v>
      </c>
      <c r="E577" s="7" t="s">
        <v>162</v>
      </c>
      <c r="F577" s="7" t="s">
        <v>136</v>
      </c>
      <c r="G577" s="7" t="s">
        <v>144</v>
      </c>
      <c r="H577" s="7" t="s">
        <v>305</v>
      </c>
      <c r="I577" s="7" t="s">
        <v>306</v>
      </c>
      <c r="J577" s="8" t="n">
        <v>45986</v>
      </c>
      <c r="K577" s="8" t="n">
        <v>46054</v>
      </c>
      <c r="L577" s="9" t="n">
        <f aca="false">K577-J577</f>
        <v>68</v>
      </c>
      <c r="M577" s="10" t="n">
        <v>151525.38</v>
      </c>
      <c r="N577" s="7" t="s">
        <v>99</v>
      </c>
      <c r="O577" s="7" t="s">
        <v>118</v>
      </c>
      <c r="P577" s="7"/>
      <c r="Q577" s="7"/>
      <c r="R577" s="7"/>
    </row>
    <row r="578" customFormat="false" ht="15" hidden="false" customHeight="false" outlineLevel="0" collapsed="false">
      <c r="A578" s="7" t="s">
        <v>1103</v>
      </c>
      <c r="B578" s="7" t="s">
        <v>291</v>
      </c>
      <c r="C578" s="7" t="s">
        <v>292</v>
      </c>
      <c r="D578" s="7" t="s">
        <v>201</v>
      </c>
      <c r="E578" s="7" t="s">
        <v>94</v>
      </c>
      <c r="F578" s="7" t="s">
        <v>128</v>
      </c>
      <c r="G578" s="7" t="s">
        <v>107</v>
      </c>
      <c r="H578" s="7" t="s">
        <v>205</v>
      </c>
      <c r="I578" s="7" t="s">
        <v>206</v>
      </c>
      <c r="J578" s="8" t="n">
        <v>46006</v>
      </c>
      <c r="K578" s="8" t="n">
        <v>46056</v>
      </c>
      <c r="L578" s="9" t="n">
        <f aca="false">K578-J578</f>
        <v>50</v>
      </c>
      <c r="M578" s="10" t="n">
        <v>41001.16</v>
      </c>
      <c r="N578" s="7" t="s">
        <v>131</v>
      </c>
      <c r="O578" s="7"/>
      <c r="P578" s="8" t="n">
        <v>46058</v>
      </c>
      <c r="Q578" s="7" t="n">
        <v>3</v>
      </c>
      <c r="R578" s="8" t="n">
        <f aca="false">EDATE(P578,Q578)</f>
        <v>46147</v>
      </c>
    </row>
    <row r="579" customFormat="false" ht="15" hidden="false" customHeight="false" outlineLevel="0" collapsed="false">
      <c r="A579" s="7" t="s">
        <v>1104</v>
      </c>
      <c r="B579" s="7" t="s">
        <v>904</v>
      </c>
      <c r="C579" s="7" t="s">
        <v>905</v>
      </c>
      <c r="D579" s="7" t="s">
        <v>201</v>
      </c>
      <c r="E579" s="7" t="s">
        <v>94</v>
      </c>
      <c r="F579" s="7" t="s">
        <v>157</v>
      </c>
      <c r="G579" s="7" t="s">
        <v>184</v>
      </c>
      <c r="H579" s="7" t="s">
        <v>270</v>
      </c>
      <c r="I579" s="7" t="s">
        <v>271</v>
      </c>
      <c r="J579" s="8" t="n">
        <v>45981</v>
      </c>
      <c r="K579" s="8" t="n">
        <v>46056</v>
      </c>
      <c r="L579" s="9" t="n">
        <f aca="false">K579-J579</f>
        <v>75</v>
      </c>
      <c r="M579" s="10" t="n">
        <v>82967.38</v>
      </c>
      <c r="N579" s="7" t="s">
        <v>99</v>
      </c>
      <c r="O579" s="7" t="s">
        <v>100</v>
      </c>
      <c r="P579" s="7"/>
      <c r="Q579" s="7"/>
      <c r="R579" s="7"/>
    </row>
    <row r="580" customFormat="false" ht="15" hidden="false" customHeight="false" outlineLevel="0" collapsed="false">
      <c r="A580" s="7" t="s">
        <v>1105</v>
      </c>
      <c r="B580" s="7" t="s">
        <v>273</v>
      </c>
      <c r="C580" s="7" t="s">
        <v>274</v>
      </c>
      <c r="D580" s="7" t="s">
        <v>195</v>
      </c>
      <c r="E580" s="7" t="s">
        <v>94</v>
      </c>
      <c r="F580" s="7" t="s">
        <v>136</v>
      </c>
      <c r="G580" s="7" t="s">
        <v>96</v>
      </c>
      <c r="H580" s="7" t="s">
        <v>205</v>
      </c>
      <c r="I580" s="7" t="s">
        <v>206</v>
      </c>
      <c r="J580" s="8" t="n">
        <v>45955</v>
      </c>
      <c r="K580" s="8" t="n">
        <v>46057</v>
      </c>
      <c r="L580" s="9" t="n">
        <f aca="false">K580-J580</f>
        <v>102</v>
      </c>
      <c r="M580" s="10" t="n">
        <v>313925.51</v>
      </c>
      <c r="N580" s="7" t="s">
        <v>99</v>
      </c>
      <c r="O580" s="7" t="s">
        <v>124</v>
      </c>
      <c r="P580" s="7"/>
      <c r="Q580" s="7"/>
      <c r="R580" s="7"/>
    </row>
    <row r="581" customFormat="false" ht="15" hidden="false" customHeight="false" outlineLevel="0" collapsed="false">
      <c r="A581" s="7" t="s">
        <v>1106</v>
      </c>
      <c r="B581" s="7" t="s">
        <v>337</v>
      </c>
      <c r="C581" s="7" t="s">
        <v>338</v>
      </c>
      <c r="D581" s="7" t="s">
        <v>201</v>
      </c>
      <c r="E581" s="7" t="s">
        <v>94</v>
      </c>
      <c r="F581" s="7" t="s">
        <v>183</v>
      </c>
      <c r="G581" s="7" t="s">
        <v>107</v>
      </c>
      <c r="H581" s="7" t="s">
        <v>129</v>
      </c>
      <c r="I581" s="7" t="s">
        <v>130</v>
      </c>
      <c r="J581" s="8" t="n">
        <v>45970</v>
      </c>
      <c r="K581" s="8" t="n">
        <v>46058</v>
      </c>
      <c r="L581" s="9" t="n">
        <f aca="false">K581-J581</f>
        <v>88</v>
      </c>
      <c r="M581" s="10" t="n">
        <v>52718.28</v>
      </c>
      <c r="N581" s="7" t="s">
        <v>99</v>
      </c>
      <c r="O581" s="7" t="s">
        <v>219</v>
      </c>
      <c r="P581" s="7"/>
      <c r="Q581" s="7"/>
      <c r="R581" s="7"/>
    </row>
    <row r="582" customFormat="false" ht="15" hidden="false" customHeight="false" outlineLevel="0" collapsed="false">
      <c r="A582" s="7" t="s">
        <v>1107</v>
      </c>
      <c r="B582" s="7" t="s">
        <v>188</v>
      </c>
      <c r="C582" s="7" t="s">
        <v>189</v>
      </c>
      <c r="D582" s="7" t="s">
        <v>151</v>
      </c>
      <c r="E582" s="7" t="s">
        <v>105</v>
      </c>
      <c r="F582" s="7" t="s">
        <v>157</v>
      </c>
      <c r="G582" s="7" t="s">
        <v>96</v>
      </c>
      <c r="H582" s="7" t="s">
        <v>185</v>
      </c>
      <c r="I582" s="7" t="s">
        <v>186</v>
      </c>
      <c r="J582" s="8" t="n">
        <v>45975</v>
      </c>
      <c r="K582" s="8" t="n">
        <v>46058</v>
      </c>
      <c r="L582" s="9" t="n">
        <f aca="false">K582-J582</f>
        <v>83</v>
      </c>
      <c r="M582" s="10" t="n">
        <v>25493.61</v>
      </c>
      <c r="N582" s="7" t="s">
        <v>99</v>
      </c>
      <c r="O582" s="7" t="s">
        <v>118</v>
      </c>
      <c r="P582" s="7"/>
      <c r="Q582" s="7"/>
      <c r="R582" s="7"/>
    </row>
    <row r="583" customFormat="false" ht="15" hidden="false" customHeight="false" outlineLevel="0" collapsed="false">
      <c r="A583" s="7" t="s">
        <v>1108</v>
      </c>
      <c r="B583" s="7" t="s">
        <v>221</v>
      </c>
      <c r="C583" s="7" t="s">
        <v>222</v>
      </c>
      <c r="D583" s="7" t="s">
        <v>135</v>
      </c>
      <c r="E583" s="7" t="s">
        <v>162</v>
      </c>
      <c r="F583" s="7" t="s">
        <v>136</v>
      </c>
      <c r="G583" s="7" t="s">
        <v>144</v>
      </c>
      <c r="H583" s="7" t="s">
        <v>180</v>
      </c>
      <c r="I583" s="7" t="s">
        <v>181</v>
      </c>
      <c r="J583" s="8" t="n">
        <v>45975</v>
      </c>
      <c r="K583" s="8" t="n">
        <v>46058</v>
      </c>
      <c r="L583" s="9" t="n">
        <f aca="false">K583-J583</f>
        <v>83</v>
      </c>
      <c r="M583" s="10" t="n">
        <v>184973.6</v>
      </c>
      <c r="N583" s="7" t="s">
        <v>99</v>
      </c>
      <c r="O583" s="7" t="s">
        <v>124</v>
      </c>
      <c r="P583" s="7"/>
      <c r="Q583" s="7"/>
      <c r="R583" s="7"/>
    </row>
    <row r="584" customFormat="false" ht="15" hidden="false" customHeight="false" outlineLevel="0" collapsed="false">
      <c r="A584" s="7" t="s">
        <v>1109</v>
      </c>
      <c r="B584" s="7" t="s">
        <v>546</v>
      </c>
      <c r="C584" s="7" t="s">
        <v>547</v>
      </c>
      <c r="D584" s="7" t="s">
        <v>201</v>
      </c>
      <c r="E584" s="7" t="s">
        <v>105</v>
      </c>
      <c r="F584" s="7" t="s">
        <v>157</v>
      </c>
      <c r="G584" s="7" t="s">
        <v>117</v>
      </c>
      <c r="H584" s="7" t="s">
        <v>270</v>
      </c>
      <c r="I584" s="7" t="s">
        <v>271</v>
      </c>
      <c r="J584" s="8" t="n">
        <v>46000</v>
      </c>
      <c r="K584" s="8" t="n">
        <v>46059</v>
      </c>
      <c r="L584" s="9" t="n">
        <f aca="false">K584-J584</f>
        <v>59</v>
      </c>
      <c r="M584" s="10" t="n">
        <v>52417.44</v>
      </c>
      <c r="N584" s="7" t="s">
        <v>131</v>
      </c>
      <c r="O584" s="7"/>
      <c r="P584" s="8" t="n">
        <v>46060</v>
      </c>
      <c r="Q584" s="7" t="n">
        <v>3</v>
      </c>
      <c r="R584" s="8" t="n">
        <f aca="false">EDATE(P584,Q584)</f>
        <v>46149</v>
      </c>
    </row>
    <row r="585" customFormat="false" ht="15" hidden="false" customHeight="false" outlineLevel="0" collapsed="false">
      <c r="A585" s="7" t="s">
        <v>1110</v>
      </c>
      <c r="B585" s="7" t="s">
        <v>1111</v>
      </c>
      <c r="C585" s="7" t="s">
        <v>1112</v>
      </c>
      <c r="D585" s="7" t="s">
        <v>114</v>
      </c>
      <c r="E585" s="7" t="s">
        <v>94</v>
      </c>
      <c r="F585" s="7" t="s">
        <v>128</v>
      </c>
      <c r="G585" s="7" t="s">
        <v>137</v>
      </c>
      <c r="H585" s="7" t="s">
        <v>185</v>
      </c>
      <c r="I585" s="7" t="s">
        <v>186</v>
      </c>
      <c r="J585" s="8" t="n">
        <v>45966</v>
      </c>
      <c r="K585" s="8" t="n">
        <v>46061</v>
      </c>
      <c r="L585" s="9" t="n">
        <f aca="false">K585-J585</f>
        <v>95</v>
      </c>
      <c r="M585" s="10" t="n">
        <v>54087.07</v>
      </c>
      <c r="N585" s="7" t="s">
        <v>99</v>
      </c>
      <c r="O585" s="7" t="s">
        <v>124</v>
      </c>
      <c r="P585" s="7"/>
      <c r="Q585" s="7"/>
      <c r="R585" s="7"/>
    </row>
    <row r="586" customFormat="false" ht="15" hidden="false" customHeight="false" outlineLevel="0" collapsed="false">
      <c r="A586" s="7" t="s">
        <v>1113</v>
      </c>
      <c r="B586" s="7" t="s">
        <v>160</v>
      </c>
      <c r="C586" s="7" t="s">
        <v>161</v>
      </c>
      <c r="D586" s="7" t="s">
        <v>151</v>
      </c>
      <c r="E586" s="7" t="s">
        <v>162</v>
      </c>
      <c r="F586" s="7" t="s">
        <v>136</v>
      </c>
      <c r="G586" s="7" t="s">
        <v>107</v>
      </c>
      <c r="H586" s="7" t="s">
        <v>190</v>
      </c>
      <c r="I586" s="7" t="s">
        <v>191</v>
      </c>
      <c r="J586" s="8" t="n">
        <v>45993</v>
      </c>
      <c r="K586" s="8" t="n">
        <v>46061</v>
      </c>
      <c r="L586" s="9" t="n">
        <f aca="false">K586-J586</f>
        <v>68</v>
      </c>
      <c r="M586" s="10" t="n">
        <v>169287.27</v>
      </c>
      <c r="N586" s="7" t="s">
        <v>99</v>
      </c>
      <c r="O586" s="7" t="s">
        <v>147</v>
      </c>
      <c r="P586" s="7"/>
      <c r="Q586" s="7"/>
      <c r="R586" s="7"/>
    </row>
    <row r="587" customFormat="false" ht="15" hidden="false" customHeight="false" outlineLevel="0" collapsed="false">
      <c r="A587" s="7" t="s">
        <v>1114</v>
      </c>
      <c r="B587" s="7" t="s">
        <v>120</v>
      </c>
      <c r="C587" s="7" t="s">
        <v>121</v>
      </c>
      <c r="D587" s="7" t="s">
        <v>104</v>
      </c>
      <c r="E587" s="7" t="s">
        <v>105</v>
      </c>
      <c r="F587" s="7" t="s">
        <v>128</v>
      </c>
      <c r="G587" s="7" t="s">
        <v>184</v>
      </c>
      <c r="H587" s="7" t="s">
        <v>180</v>
      </c>
      <c r="I587" s="7" t="s">
        <v>181</v>
      </c>
      <c r="J587" s="8" t="n">
        <v>46050</v>
      </c>
      <c r="K587" s="8" t="n">
        <v>46062</v>
      </c>
      <c r="L587" s="9" t="n">
        <f aca="false">K587-J587</f>
        <v>12</v>
      </c>
      <c r="M587" s="10" t="n">
        <v>67043.83</v>
      </c>
      <c r="N587" s="7" t="s">
        <v>131</v>
      </c>
      <c r="O587" s="7"/>
      <c r="P587" s="8" t="n">
        <v>46065</v>
      </c>
      <c r="Q587" s="7" t="n">
        <v>1</v>
      </c>
      <c r="R587" s="8" t="n">
        <f aca="false">EDATE(P587,Q587)</f>
        <v>46093</v>
      </c>
    </row>
    <row r="588" customFormat="false" ht="15" hidden="false" customHeight="false" outlineLevel="0" collapsed="false">
      <c r="A588" s="7" t="s">
        <v>1115</v>
      </c>
      <c r="B588" s="7" t="s">
        <v>334</v>
      </c>
      <c r="C588" s="7" t="s">
        <v>335</v>
      </c>
      <c r="D588" s="7" t="s">
        <v>242</v>
      </c>
      <c r="E588" s="7" t="s">
        <v>162</v>
      </c>
      <c r="F588" s="7" t="s">
        <v>157</v>
      </c>
      <c r="G588" s="7" t="s">
        <v>144</v>
      </c>
      <c r="H588" s="7" t="s">
        <v>270</v>
      </c>
      <c r="I588" s="7" t="s">
        <v>271</v>
      </c>
      <c r="J588" s="8" t="n">
        <v>46020</v>
      </c>
      <c r="K588" s="8" t="n">
        <v>46063</v>
      </c>
      <c r="L588" s="9" t="n">
        <f aca="false">K588-J588</f>
        <v>43</v>
      </c>
      <c r="M588" s="10" t="n">
        <v>38262.08</v>
      </c>
      <c r="N588" s="7" t="s">
        <v>131</v>
      </c>
      <c r="O588" s="7"/>
      <c r="P588" s="8" t="n">
        <v>46063</v>
      </c>
      <c r="Q588" s="7" t="n">
        <v>3</v>
      </c>
      <c r="R588" s="8" t="n">
        <f aca="false">EDATE(P588,Q588)</f>
        <v>46152</v>
      </c>
    </row>
    <row r="589" customFormat="false" ht="15" hidden="false" customHeight="false" outlineLevel="0" collapsed="false">
      <c r="A589" s="7" t="s">
        <v>1116</v>
      </c>
      <c r="B589" s="7" t="s">
        <v>287</v>
      </c>
      <c r="C589" s="7" t="s">
        <v>288</v>
      </c>
      <c r="D589" s="7" t="s">
        <v>151</v>
      </c>
      <c r="E589" s="7" t="s">
        <v>94</v>
      </c>
      <c r="F589" s="7" t="s">
        <v>157</v>
      </c>
      <c r="G589" s="7" t="s">
        <v>107</v>
      </c>
      <c r="H589" s="7" t="s">
        <v>171</v>
      </c>
      <c r="I589" s="7" t="s">
        <v>172</v>
      </c>
      <c r="J589" s="8" t="n">
        <v>45998</v>
      </c>
      <c r="K589" s="8" t="n">
        <v>46065</v>
      </c>
      <c r="L589" s="9" t="n">
        <f aca="false">K589-J589</f>
        <v>67</v>
      </c>
      <c r="M589" s="10" t="n">
        <v>129230</v>
      </c>
      <c r="N589" s="7" t="s">
        <v>131</v>
      </c>
      <c r="O589" s="7"/>
      <c r="P589" s="8" t="n">
        <v>46067</v>
      </c>
      <c r="Q589" s="7" t="n">
        <v>4</v>
      </c>
      <c r="R589" s="8" t="n">
        <f aca="false">EDATE(P589,Q589)</f>
        <v>46187</v>
      </c>
    </row>
    <row r="590" customFormat="false" ht="15" hidden="false" customHeight="false" outlineLevel="0" collapsed="false">
      <c r="A590" s="7" t="s">
        <v>1117</v>
      </c>
      <c r="B590" s="7" t="s">
        <v>592</v>
      </c>
      <c r="C590" s="7" t="s">
        <v>593</v>
      </c>
      <c r="D590" s="7" t="s">
        <v>114</v>
      </c>
      <c r="E590" s="7" t="s">
        <v>162</v>
      </c>
      <c r="F590" s="7" t="s">
        <v>157</v>
      </c>
      <c r="G590" s="7" t="s">
        <v>144</v>
      </c>
      <c r="H590" s="7" t="s">
        <v>122</v>
      </c>
      <c r="I590" s="7" t="s">
        <v>123</v>
      </c>
      <c r="J590" s="8" t="n">
        <v>46002</v>
      </c>
      <c r="K590" s="8" t="n">
        <v>46065</v>
      </c>
      <c r="L590" s="9" t="n">
        <f aca="false">K590-J590</f>
        <v>63</v>
      </c>
      <c r="M590" s="10" t="n">
        <v>138190.2</v>
      </c>
      <c r="N590" s="7" t="s">
        <v>131</v>
      </c>
      <c r="O590" s="7"/>
      <c r="P590" s="8" t="n">
        <v>46088</v>
      </c>
      <c r="Q590" s="7" t="n">
        <v>5</v>
      </c>
      <c r="R590" s="8" t="n">
        <f aca="false">EDATE(P590,Q590)</f>
        <v>46241</v>
      </c>
    </row>
    <row r="591" customFormat="false" ht="15" hidden="false" customHeight="false" outlineLevel="0" collapsed="false">
      <c r="A591" s="7" t="s">
        <v>1118</v>
      </c>
      <c r="B591" s="7" t="s">
        <v>1119</v>
      </c>
      <c r="C591" s="7" t="s">
        <v>1120</v>
      </c>
      <c r="D591" s="7" t="s">
        <v>104</v>
      </c>
      <c r="E591" s="7" t="s">
        <v>94</v>
      </c>
      <c r="F591" s="7" t="s">
        <v>143</v>
      </c>
      <c r="G591" s="7" t="s">
        <v>176</v>
      </c>
      <c r="H591" s="7" t="s">
        <v>185</v>
      </c>
      <c r="I591" s="7" t="s">
        <v>186</v>
      </c>
      <c r="J591" s="8" t="n">
        <v>45984</v>
      </c>
      <c r="K591" s="8" t="n">
        <v>46066</v>
      </c>
      <c r="L591" s="9" t="n">
        <f aca="false">K591-J591</f>
        <v>82</v>
      </c>
      <c r="M591" s="10" t="n">
        <v>101601.52</v>
      </c>
      <c r="N591" s="7" t="s">
        <v>99</v>
      </c>
      <c r="O591" s="7" t="s">
        <v>110</v>
      </c>
      <c r="P591" s="7"/>
      <c r="Q591" s="7"/>
      <c r="R591" s="7"/>
    </row>
    <row r="592" customFormat="false" ht="15" hidden="false" customHeight="false" outlineLevel="0" collapsed="false">
      <c r="A592" s="7" t="s">
        <v>1121</v>
      </c>
      <c r="B592" s="7" t="s">
        <v>273</v>
      </c>
      <c r="C592" s="7" t="s">
        <v>274</v>
      </c>
      <c r="D592" s="7" t="s">
        <v>195</v>
      </c>
      <c r="E592" s="7" t="s">
        <v>94</v>
      </c>
      <c r="F592" s="7" t="s">
        <v>143</v>
      </c>
      <c r="G592" s="7" t="s">
        <v>137</v>
      </c>
      <c r="H592" s="7" t="s">
        <v>138</v>
      </c>
      <c r="I592" s="7" t="s">
        <v>139</v>
      </c>
      <c r="J592" s="8" t="n">
        <v>45962</v>
      </c>
      <c r="K592" s="8" t="n">
        <v>46066</v>
      </c>
      <c r="L592" s="9" t="n">
        <f aca="false">K592-J592</f>
        <v>104</v>
      </c>
      <c r="M592" s="10" t="n">
        <v>205956.91</v>
      </c>
      <c r="N592" s="7" t="s">
        <v>99</v>
      </c>
      <c r="O592" s="7" t="s">
        <v>147</v>
      </c>
      <c r="P592" s="7"/>
      <c r="Q592" s="7"/>
      <c r="R592" s="7"/>
    </row>
    <row r="593" customFormat="false" ht="15" hidden="false" customHeight="false" outlineLevel="0" collapsed="false">
      <c r="A593" s="7" t="s">
        <v>1122</v>
      </c>
      <c r="B593" s="7" t="s">
        <v>490</v>
      </c>
      <c r="C593" s="7" t="s">
        <v>491</v>
      </c>
      <c r="D593" s="7" t="s">
        <v>195</v>
      </c>
      <c r="E593" s="7" t="s">
        <v>162</v>
      </c>
      <c r="F593" s="7" t="s">
        <v>128</v>
      </c>
      <c r="G593" s="7" t="s">
        <v>96</v>
      </c>
      <c r="H593" s="7" t="s">
        <v>177</v>
      </c>
      <c r="I593" s="7" t="s">
        <v>178</v>
      </c>
      <c r="J593" s="8" t="n">
        <v>45961</v>
      </c>
      <c r="K593" s="8" t="n">
        <v>46066</v>
      </c>
      <c r="L593" s="9" t="n">
        <f aca="false">K593-J593</f>
        <v>105</v>
      </c>
      <c r="M593" s="10" t="n">
        <v>87845.07</v>
      </c>
      <c r="N593" s="7" t="s">
        <v>99</v>
      </c>
      <c r="O593" s="7" t="s">
        <v>219</v>
      </c>
      <c r="P593" s="7"/>
      <c r="Q593" s="7"/>
      <c r="R593" s="7"/>
    </row>
    <row r="594" customFormat="false" ht="15" hidden="false" customHeight="false" outlineLevel="0" collapsed="false">
      <c r="A594" s="7" t="s">
        <v>1123</v>
      </c>
      <c r="B594" s="7" t="s">
        <v>343</v>
      </c>
      <c r="C594" s="7" t="s">
        <v>344</v>
      </c>
      <c r="D594" s="7" t="s">
        <v>93</v>
      </c>
      <c r="E594" s="7" t="s">
        <v>94</v>
      </c>
      <c r="F594" s="7" t="s">
        <v>95</v>
      </c>
      <c r="G594" s="7" t="s">
        <v>107</v>
      </c>
      <c r="H594" s="7" t="s">
        <v>185</v>
      </c>
      <c r="I594" s="7" t="s">
        <v>186</v>
      </c>
      <c r="J594" s="8" t="n">
        <v>46021</v>
      </c>
      <c r="K594" s="8" t="n">
        <v>46068</v>
      </c>
      <c r="L594" s="9" t="n">
        <f aca="false">K594-J594</f>
        <v>47</v>
      </c>
      <c r="M594" s="10" t="n">
        <v>60613.63</v>
      </c>
      <c r="N594" s="7" t="s">
        <v>131</v>
      </c>
      <c r="O594" s="7"/>
      <c r="P594" s="8" t="n">
        <v>46087</v>
      </c>
      <c r="Q594" s="7" t="n">
        <v>4</v>
      </c>
      <c r="R594" s="8" t="n">
        <f aca="false">EDATE(P594,Q594)</f>
        <v>46209</v>
      </c>
    </row>
    <row r="595" customFormat="false" ht="15" hidden="false" customHeight="false" outlineLevel="0" collapsed="false">
      <c r="A595" s="7" t="s">
        <v>1124</v>
      </c>
      <c r="B595" s="7" t="s">
        <v>126</v>
      </c>
      <c r="C595" s="7" t="s">
        <v>127</v>
      </c>
      <c r="D595" s="7" t="s">
        <v>104</v>
      </c>
      <c r="E595" s="7" t="s">
        <v>105</v>
      </c>
      <c r="F595" s="7" t="s">
        <v>128</v>
      </c>
      <c r="G595" s="7" t="s">
        <v>117</v>
      </c>
      <c r="H595" s="7" t="s">
        <v>138</v>
      </c>
      <c r="I595" s="7" t="s">
        <v>139</v>
      </c>
      <c r="J595" s="8" t="n">
        <v>45957</v>
      </c>
      <c r="K595" s="8" t="n">
        <v>46068</v>
      </c>
      <c r="L595" s="9" t="n">
        <f aca="false">K595-J595</f>
        <v>111</v>
      </c>
      <c r="M595" s="10" t="n">
        <v>56359.9</v>
      </c>
      <c r="N595" s="7" t="s">
        <v>99</v>
      </c>
      <c r="O595" s="7" t="s">
        <v>219</v>
      </c>
      <c r="P595" s="7"/>
      <c r="Q595" s="7"/>
      <c r="R595" s="7"/>
    </row>
    <row r="596" customFormat="false" ht="15" hidden="false" customHeight="false" outlineLevel="0" collapsed="false">
      <c r="A596" s="7" t="s">
        <v>1125</v>
      </c>
      <c r="B596" s="7" t="s">
        <v>424</v>
      </c>
      <c r="C596" s="7" t="s">
        <v>425</v>
      </c>
      <c r="D596" s="7" t="s">
        <v>114</v>
      </c>
      <c r="E596" s="7" t="s">
        <v>115</v>
      </c>
      <c r="F596" s="7" t="s">
        <v>183</v>
      </c>
      <c r="G596" s="7" t="s">
        <v>176</v>
      </c>
      <c r="H596" s="7" t="s">
        <v>231</v>
      </c>
      <c r="I596" s="7" t="s">
        <v>232</v>
      </c>
      <c r="J596" s="8" t="n">
        <v>45996</v>
      </c>
      <c r="K596" s="8" t="n">
        <v>46068</v>
      </c>
      <c r="L596" s="9" t="n">
        <f aca="false">K596-J596</f>
        <v>72</v>
      </c>
      <c r="M596" s="10" t="n">
        <v>55976.06</v>
      </c>
      <c r="N596" s="7" t="s">
        <v>99</v>
      </c>
      <c r="O596" s="7" t="s">
        <v>118</v>
      </c>
      <c r="P596" s="7"/>
      <c r="Q596" s="7"/>
      <c r="R596" s="7"/>
    </row>
    <row r="597" customFormat="false" ht="15" hidden="false" customHeight="false" outlineLevel="0" collapsed="false">
      <c r="A597" s="7" t="s">
        <v>1126</v>
      </c>
      <c r="B597" s="7" t="s">
        <v>821</v>
      </c>
      <c r="C597" s="7" t="s">
        <v>822</v>
      </c>
      <c r="D597" s="7" t="s">
        <v>201</v>
      </c>
      <c r="E597" s="7" t="s">
        <v>105</v>
      </c>
      <c r="F597" s="7" t="s">
        <v>143</v>
      </c>
      <c r="G597" s="7" t="s">
        <v>96</v>
      </c>
      <c r="H597" s="7" t="s">
        <v>166</v>
      </c>
      <c r="I597" s="7" t="s">
        <v>167</v>
      </c>
      <c r="J597" s="8" t="n">
        <v>45917</v>
      </c>
      <c r="K597" s="8" t="n">
        <v>46069</v>
      </c>
      <c r="L597" s="9" t="n">
        <f aca="false">K597-J597</f>
        <v>152</v>
      </c>
      <c r="M597" s="10" t="n">
        <v>180000.46</v>
      </c>
      <c r="N597" s="7" t="s">
        <v>99</v>
      </c>
      <c r="O597" s="7" t="s">
        <v>219</v>
      </c>
      <c r="P597" s="7"/>
      <c r="Q597" s="7"/>
      <c r="R597" s="7"/>
    </row>
    <row r="598" customFormat="false" ht="15" hidden="false" customHeight="false" outlineLevel="0" collapsed="false">
      <c r="A598" s="7" t="s">
        <v>1127</v>
      </c>
      <c r="B598" s="7" t="s">
        <v>776</v>
      </c>
      <c r="C598" s="7" t="s">
        <v>777</v>
      </c>
      <c r="D598" s="7" t="s">
        <v>242</v>
      </c>
      <c r="E598" s="7" t="s">
        <v>94</v>
      </c>
      <c r="F598" s="7" t="s">
        <v>143</v>
      </c>
      <c r="G598" s="7" t="s">
        <v>96</v>
      </c>
      <c r="H598" s="7" t="s">
        <v>152</v>
      </c>
      <c r="I598" s="7" t="s">
        <v>153</v>
      </c>
      <c r="J598" s="8" t="n">
        <v>45998</v>
      </c>
      <c r="K598" s="8" t="n">
        <v>46070</v>
      </c>
      <c r="L598" s="9" t="n">
        <f aca="false">K598-J598</f>
        <v>72</v>
      </c>
      <c r="M598" s="10" t="n">
        <v>132267.61</v>
      </c>
      <c r="N598" s="7" t="s">
        <v>99</v>
      </c>
      <c r="O598" s="7" t="s">
        <v>147</v>
      </c>
      <c r="P598" s="7"/>
      <c r="Q598" s="7"/>
      <c r="R598" s="7"/>
    </row>
    <row r="599" customFormat="false" ht="15" hidden="false" customHeight="false" outlineLevel="0" collapsed="false">
      <c r="A599" s="7" t="s">
        <v>1128</v>
      </c>
      <c r="B599" s="7" t="s">
        <v>284</v>
      </c>
      <c r="C599" s="7" t="s">
        <v>285</v>
      </c>
      <c r="D599" s="7" t="s">
        <v>201</v>
      </c>
      <c r="E599" s="7" t="s">
        <v>105</v>
      </c>
      <c r="F599" s="7" t="s">
        <v>116</v>
      </c>
      <c r="G599" s="7" t="s">
        <v>176</v>
      </c>
      <c r="H599" s="7" t="s">
        <v>138</v>
      </c>
      <c r="I599" s="7" t="s">
        <v>139</v>
      </c>
      <c r="J599" s="8" t="n">
        <v>45981</v>
      </c>
      <c r="K599" s="8" t="n">
        <v>46070</v>
      </c>
      <c r="L599" s="9" t="n">
        <f aca="false">K599-J599</f>
        <v>89</v>
      </c>
      <c r="M599" s="10" t="n">
        <v>112826.68</v>
      </c>
      <c r="N599" s="7" t="s">
        <v>99</v>
      </c>
      <c r="O599" s="7" t="s">
        <v>124</v>
      </c>
      <c r="P599" s="7"/>
      <c r="Q599" s="7"/>
      <c r="R599" s="7"/>
    </row>
    <row r="600" customFormat="false" ht="15" hidden="false" customHeight="false" outlineLevel="0" collapsed="false">
      <c r="A600" s="7" t="s">
        <v>1129</v>
      </c>
      <c r="B600" s="7" t="s">
        <v>343</v>
      </c>
      <c r="C600" s="7" t="s">
        <v>344</v>
      </c>
      <c r="D600" s="7" t="s">
        <v>93</v>
      </c>
      <c r="E600" s="7" t="s">
        <v>94</v>
      </c>
      <c r="F600" s="7" t="s">
        <v>157</v>
      </c>
      <c r="G600" s="7" t="s">
        <v>144</v>
      </c>
      <c r="H600" s="7" t="s">
        <v>138</v>
      </c>
      <c r="I600" s="7" t="s">
        <v>139</v>
      </c>
      <c r="J600" s="8" t="n">
        <v>46022</v>
      </c>
      <c r="K600" s="8" t="n">
        <v>46070</v>
      </c>
      <c r="L600" s="9" t="n">
        <f aca="false">K600-J600</f>
        <v>48</v>
      </c>
      <c r="M600" s="10" t="n">
        <v>45159.19</v>
      </c>
      <c r="N600" s="7" t="s">
        <v>131</v>
      </c>
      <c r="O600" s="7"/>
      <c r="P600" s="8" t="n">
        <v>46078</v>
      </c>
      <c r="Q600" s="7" t="n">
        <v>6</v>
      </c>
      <c r="R600" s="8" t="n">
        <f aca="false">EDATE(P600,Q600)</f>
        <v>46259</v>
      </c>
    </row>
    <row r="601" customFormat="false" ht="15" hidden="false" customHeight="false" outlineLevel="0" collapsed="false">
      <c r="A601" s="7" t="s">
        <v>1130</v>
      </c>
      <c r="B601" s="7" t="s">
        <v>1119</v>
      </c>
      <c r="C601" s="7" t="s">
        <v>1120</v>
      </c>
      <c r="D601" s="7" t="s">
        <v>104</v>
      </c>
      <c r="E601" s="7" t="s">
        <v>94</v>
      </c>
      <c r="F601" s="7" t="s">
        <v>157</v>
      </c>
      <c r="G601" s="7" t="s">
        <v>96</v>
      </c>
      <c r="H601" s="7" t="s">
        <v>231</v>
      </c>
      <c r="I601" s="7" t="s">
        <v>232</v>
      </c>
      <c r="J601" s="8" t="n">
        <v>45964</v>
      </c>
      <c r="K601" s="8" t="n">
        <v>46071</v>
      </c>
      <c r="L601" s="9" t="n">
        <f aca="false">K601-J601</f>
        <v>107</v>
      </c>
      <c r="M601" s="10" t="n">
        <v>193846.68</v>
      </c>
      <c r="N601" s="7" t="s">
        <v>99</v>
      </c>
      <c r="O601" s="7" t="s">
        <v>110</v>
      </c>
      <c r="P601" s="7"/>
      <c r="Q601" s="7"/>
      <c r="R601" s="7"/>
    </row>
    <row r="602" customFormat="false" ht="15" hidden="false" customHeight="false" outlineLevel="0" collapsed="false">
      <c r="A602" s="7" t="s">
        <v>1131</v>
      </c>
      <c r="B602" s="7" t="s">
        <v>337</v>
      </c>
      <c r="C602" s="7" t="s">
        <v>338</v>
      </c>
      <c r="D602" s="7" t="s">
        <v>201</v>
      </c>
      <c r="E602" s="7" t="s">
        <v>94</v>
      </c>
      <c r="F602" s="7" t="s">
        <v>128</v>
      </c>
      <c r="G602" s="7" t="s">
        <v>137</v>
      </c>
      <c r="H602" s="7" t="s">
        <v>205</v>
      </c>
      <c r="I602" s="7" t="s">
        <v>206</v>
      </c>
      <c r="J602" s="8" t="n">
        <v>46001</v>
      </c>
      <c r="K602" s="8" t="n">
        <v>46071</v>
      </c>
      <c r="L602" s="9" t="n">
        <f aca="false">K602-J602</f>
        <v>70</v>
      </c>
      <c r="M602" s="10" t="n">
        <v>60140.06</v>
      </c>
      <c r="N602" s="7" t="s">
        <v>99</v>
      </c>
      <c r="O602" s="7" t="s">
        <v>147</v>
      </c>
      <c r="P602" s="7"/>
      <c r="Q602" s="7"/>
      <c r="R602" s="7"/>
    </row>
    <row r="603" customFormat="false" ht="15" hidden="false" customHeight="false" outlineLevel="0" collapsed="false">
      <c r="A603" s="7" t="s">
        <v>1132</v>
      </c>
      <c r="B603" s="7" t="s">
        <v>250</v>
      </c>
      <c r="C603" s="7" t="s">
        <v>251</v>
      </c>
      <c r="D603" s="7" t="s">
        <v>195</v>
      </c>
      <c r="E603" s="7" t="s">
        <v>105</v>
      </c>
      <c r="F603" s="7" t="s">
        <v>116</v>
      </c>
      <c r="G603" s="7" t="s">
        <v>96</v>
      </c>
      <c r="H603" s="7" t="s">
        <v>305</v>
      </c>
      <c r="I603" s="7" t="s">
        <v>306</v>
      </c>
      <c r="J603" s="8" t="n">
        <v>46015</v>
      </c>
      <c r="K603" s="8" t="n">
        <v>46073</v>
      </c>
      <c r="L603" s="9" t="n">
        <f aca="false">K603-J603</f>
        <v>58</v>
      </c>
      <c r="M603" s="10" t="n">
        <v>118950.99</v>
      </c>
      <c r="N603" s="7" t="s">
        <v>99</v>
      </c>
      <c r="O603" s="7" t="s">
        <v>147</v>
      </c>
      <c r="P603" s="7"/>
      <c r="Q603" s="7"/>
      <c r="R603" s="7"/>
    </row>
    <row r="604" customFormat="false" ht="15" hidden="false" customHeight="false" outlineLevel="0" collapsed="false">
      <c r="A604" s="7" t="s">
        <v>1133</v>
      </c>
      <c r="B604" s="7" t="s">
        <v>616</v>
      </c>
      <c r="C604" s="7" t="s">
        <v>617</v>
      </c>
      <c r="D604" s="7" t="s">
        <v>201</v>
      </c>
      <c r="E604" s="7" t="s">
        <v>105</v>
      </c>
      <c r="F604" s="7" t="s">
        <v>106</v>
      </c>
      <c r="G604" s="7" t="s">
        <v>107</v>
      </c>
      <c r="H604" s="7" t="s">
        <v>196</v>
      </c>
      <c r="I604" s="7" t="s">
        <v>197</v>
      </c>
      <c r="J604" s="8" t="n">
        <v>45973</v>
      </c>
      <c r="K604" s="8" t="n">
        <v>46074</v>
      </c>
      <c r="L604" s="9" t="n">
        <f aca="false">K604-J604</f>
        <v>101</v>
      </c>
      <c r="M604" s="10" t="n">
        <v>100319.05</v>
      </c>
      <c r="N604" s="7" t="s">
        <v>131</v>
      </c>
      <c r="O604" s="7"/>
      <c r="P604" s="8" t="n">
        <v>46091</v>
      </c>
      <c r="Q604" s="7" t="n">
        <v>5</v>
      </c>
      <c r="R604" s="8" t="n">
        <f aca="false">EDATE(P604,Q604)</f>
        <v>46244</v>
      </c>
    </row>
    <row r="605" customFormat="false" ht="15" hidden="false" customHeight="false" outlineLevel="0" collapsed="false">
      <c r="A605" s="7" t="s">
        <v>1134</v>
      </c>
      <c r="B605" s="7" t="s">
        <v>780</v>
      </c>
      <c r="C605" s="7" t="s">
        <v>781</v>
      </c>
      <c r="D605" s="7" t="s">
        <v>114</v>
      </c>
      <c r="E605" s="7" t="s">
        <v>105</v>
      </c>
      <c r="F605" s="7" t="s">
        <v>106</v>
      </c>
      <c r="G605" s="7" t="s">
        <v>137</v>
      </c>
      <c r="H605" s="7" t="s">
        <v>122</v>
      </c>
      <c r="I605" s="7" t="s">
        <v>123</v>
      </c>
      <c r="J605" s="8" t="n">
        <v>46019</v>
      </c>
      <c r="K605" s="8" t="n">
        <v>46075</v>
      </c>
      <c r="L605" s="9" t="n">
        <f aca="false">K605-J605</f>
        <v>56</v>
      </c>
      <c r="M605" s="10" t="n">
        <v>55182.67</v>
      </c>
      <c r="N605" s="7" t="s">
        <v>99</v>
      </c>
      <c r="O605" s="7" t="s">
        <v>110</v>
      </c>
      <c r="P605" s="7"/>
      <c r="Q605" s="7"/>
      <c r="R605" s="7"/>
    </row>
    <row r="606" customFormat="false" ht="15" hidden="false" customHeight="false" outlineLevel="0" collapsed="false">
      <c r="A606" s="7" t="s">
        <v>1135</v>
      </c>
      <c r="B606" s="7" t="s">
        <v>208</v>
      </c>
      <c r="C606" s="7" t="s">
        <v>209</v>
      </c>
      <c r="D606" s="7" t="s">
        <v>114</v>
      </c>
      <c r="E606" s="7" t="s">
        <v>162</v>
      </c>
      <c r="F606" s="7" t="s">
        <v>116</v>
      </c>
      <c r="G606" s="7" t="s">
        <v>184</v>
      </c>
      <c r="H606" s="7" t="s">
        <v>402</v>
      </c>
      <c r="I606" s="7" t="s">
        <v>403</v>
      </c>
      <c r="J606" s="8" t="n">
        <v>46026</v>
      </c>
      <c r="K606" s="8" t="n">
        <v>46076</v>
      </c>
      <c r="L606" s="9" t="n">
        <f aca="false">K606-J606</f>
        <v>50</v>
      </c>
      <c r="M606" s="10" t="n">
        <v>76894.01</v>
      </c>
      <c r="N606" s="7" t="s">
        <v>99</v>
      </c>
      <c r="O606" s="7" t="s">
        <v>110</v>
      </c>
      <c r="P606" s="7"/>
      <c r="Q606" s="7"/>
      <c r="R606" s="7"/>
    </row>
    <row r="607" customFormat="false" ht="15" hidden="false" customHeight="false" outlineLevel="0" collapsed="false">
      <c r="A607" s="7" t="s">
        <v>1136</v>
      </c>
      <c r="B607" s="7" t="s">
        <v>287</v>
      </c>
      <c r="C607" s="7" t="s">
        <v>288</v>
      </c>
      <c r="D607" s="7" t="s">
        <v>151</v>
      </c>
      <c r="E607" s="7" t="s">
        <v>94</v>
      </c>
      <c r="F607" s="7" t="s">
        <v>157</v>
      </c>
      <c r="G607" s="7" t="s">
        <v>96</v>
      </c>
      <c r="H607" s="7" t="s">
        <v>270</v>
      </c>
      <c r="I607" s="7" t="s">
        <v>271</v>
      </c>
      <c r="J607" s="8" t="n">
        <v>45964</v>
      </c>
      <c r="K607" s="8" t="n">
        <v>46078</v>
      </c>
      <c r="L607" s="9" t="n">
        <f aca="false">K607-J607</f>
        <v>114</v>
      </c>
      <c r="M607" s="10" t="n">
        <v>52311.76</v>
      </c>
      <c r="N607" s="7" t="s">
        <v>131</v>
      </c>
      <c r="O607" s="7"/>
      <c r="P607" s="8" t="n">
        <v>46101</v>
      </c>
      <c r="Q607" s="7" t="n">
        <v>5</v>
      </c>
      <c r="R607" s="8" t="n">
        <f aca="false">EDATE(P607,Q607)</f>
        <v>46254</v>
      </c>
    </row>
    <row r="608" customFormat="false" ht="15" hidden="false" customHeight="false" outlineLevel="0" collapsed="false">
      <c r="A608" s="7" t="s">
        <v>1137</v>
      </c>
      <c r="B608" s="7" t="s">
        <v>1014</v>
      </c>
      <c r="C608" s="7" t="s">
        <v>1015</v>
      </c>
      <c r="D608" s="7" t="s">
        <v>151</v>
      </c>
      <c r="E608" s="7" t="s">
        <v>94</v>
      </c>
      <c r="F608" s="7" t="s">
        <v>106</v>
      </c>
      <c r="G608" s="7" t="s">
        <v>137</v>
      </c>
      <c r="H608" s="7" t="s">
        <v>171</v>
      </c>
      <c r="I608" s="7" t="s">
        <v>172</v>
      </c>
      <c r="J608" s="8" t="n">
        <v>46001</v>
      </c>
      <c r="K608" s="8" t="n">
        <v>46079</v>
      </c>
      <c r="L608" s="9" t="n">
        <f aca="false">K608-J608</f>
        <v>78</v>
      </c>
      <c r="M608" s="10" t="n">
        <v>123469.83</v>
      </c>
      <c r="N608" s="7" t="s">
        <v>99</v>
      </c>
      <c r="O608" s="7" t="s">
        <v>100</v>
      </c>
      <c r="P608" s="7"/>
      <c r="Q608" s="7"/>
      <c r="R608" s="7"/>
    </row>
    <row r="609" customFormat="false" ht="15" hidden="false" customHeight="false" outlineLevel="0" collapsed="false">
      <c r="A609" s="7" t="s">
        <v>1138</v>
      </c>
      <c r="B609" s="7" t="s">
        <v>318</v>
      </c>
      <c r="C609" s="7" t="s">
        <v>319</v>
      </c>
      <c r="D609" s="7" t="s">
        <v>114</v>
      </c>
      <c r="E609" s="7" t="s">
        <v>94</v>
      </c>
      <c r="F609" s="7" t="s">
        <v>157</v>
      </c>
      <c r="G609" s="7" t="s">
        <v>176</v>
      </c>
      <c r="H609" s="7" t="s">
        <v>166</v>
      </c>
      <c r="I609" s="7" t="s">
        <v>167</v>
      </c>
      <c r="J609" s="8" t="n">
        <v>45996</v>
      </c>
      <c r="K609" s="8" t="n">
        <v>46081</v>
      </c>
      <c r="L609" s="9" t="n">
        <f aca="false">K609-J609</f>
        <v>85</v>
      </c>
      <c r="M609" s="10" t="n">
        <v>145374.64</v>
      </c>
      <c r="N609" s="7" t="s">
        <v>99</v>
      </c>
      <c r="O609" s="7" t="s">
        <v>219</v>
      </c>
      <c r="P609" s="7"/>
      <c r="Q609" s="7"/>
      <c r="R609" s="7"/>
    </row>
    <row r="610" customFormat="false" ht="15" hidden="false" customHeight="false" outlineLevel="0" collapsed="false">
      <c r="A610" s="7" t="s">
        <v>1139</v>
      </c>
      <c r="B610" s="7" t="s">
        <v>1119</v>
      </c>
      <c r="C610" s="7" t="s">
        <v>1120</v>
      </c>
      <c r="D610" s="7" t="s">
        <v>104</v>
      </c>
      <c r="E610" s="7" t="s">
        <v>94</v>
      </c>
      <c r="F610" s="7" t="s">
        <v>106</v>
      </c>
      <c r="G610" s="7" t="s">
        <v>184</v>
      </c>
      <c r="H610" s="7" t="s">
        <v>152</v>
      </c>
      <c r="I610" s="7" t="s">
        <v>153</v>
      </c>
      <c r="J610" s="8" t="n">
        <v>45993</v>
      </c>
      <c r="K610" s="8" t="n">
        <v>46082</v>
      </c>
      <c r="L610" s="9" t="n">
        <f aca="false">K610-J610</f>
        <v>89</v>
      </c>
      <c r="M610" s="10" t="n">
        <v>99439.75</v>
      </c>
      <c r="N610" s="7" t="s">
        <v>99</v>
      </c>
      <c r="O610" s="7" t="s">
        <v>100</v>
      </c>
      <c r="P610" s="7"/>
      <c r="Q610" s="7"/>
      <c r="R610" s="7"/>
    </row>
    <row r="611" customFormat="false" ht="15" hidden="false" customHeight="false" outlineLevel="0" collapsed="false">
      <c r="A611" s="7" t="s">
        <v>1140</v>
      </c>
      <c r="B611" s="7" t="s">
        <v>315</v>
      </c>
      <c r="C611" s="7" t="s">
        <v>316</v>
      </c>
      <c r="D611" s="7" t="s">
        <v>195</v>
      </c>
      <c r="E611" s="7" t="s">
        <v>162</v>
      </c>
      <c r="F611" s="7" t="s">
        <v>157</v>
      </c>
      <c r="G611" s="7" t="s">
        <v>144</v>
      </c>
      <c r="H611" s="7" t="s">
        <v>138</v>
      </c>
      <c r="I611" s="7" t="s">
        <v>139</v>
      </c>
      <c r="J611" s="8" t="n">
        <v>45983</v>
      </c>
      <c r="K611" s="8" t="n">
        <v>46085</v>
      </c>
      <c r="L611" s="9" t="n">
        <f aca="false">K611-J611</f>
        <v>102</v>
      </c>
      <c r="M611" s="10" t="n">
        <v>329972.48</v>
      </c>
      <c r="N611" s="7" t="s">
        <v>131</v>
      </c>
      <c r="O611" s="7"/>
      <c r="P611" s="8" t="n">
        <v>46106</v>
      </c>
      <c r="Q611" s="7" t="n">
        <v>6</v>
      </c>
      <c r="R611" s="8" t="n">
        <f aca="false">EDATE(P611,Q611)</f>
        <v>46290</v>
      </c>
    </row>
    <row r="612" customFormat="false" ht="15" hidden="false" customHeight="false" outlineLevel="0" collapsed="false">
      <c r="A612" s="7" t="s">
        <v>1141</v>
      </c>
      <c r="B612" s="7" t="s">
        <v>443</v>
      </c>
      <c r="C612" s="7" t="s">
        <v>444</v>
      </c>
      <c r="D612" s="7" t="s">
        <v>201</v>
      </c>
      <c r="E612" s="7" t="s">
        <v>105</v>
      </c>
      <c r="F612" s="7" t="s">
        <v>136</v>
      </c>
      <c r="G612" s="7" t="s">
        <v>176</v>
      </c>
      <c r="H612" s="7" t="s">
        <v>145</v>
      </c>
      <c r="I612" s="7" t="s">
        <v>146</v>
      </c>
      <c r="J612" s="8" t="n">
        <v>46021</v>
      </c>
      <c r="K612" s="8" t="n">
        <v>46086</v>
      </c>
      <c r="L612" s="9" t="n">
        <f aca="false">K612-J612</f>
        <v>65</v>
      </c>
      <c r="M612" s="10" t="n">
        <v>58293.18</v>
      </c>
      <c r="N612" s="7" t="s">
        <v>99</v>
      </c>
      <c r="O612" s="7" t="s">
        <v>147</v>
      </c>
      <c r="P612" s="7"/>
      <c r="Q612" s="7"/>
      <c r="R612" s="7"/>
    </row>
    <row r="613" customFormat="false" ht="15" hidden="false" customHeight="false" outlineLevel="0" collapsed="false">
      <c r="A613" s="7" t="s">
        <v>1142</v>
      </c>
      <c r="B613" s="7" t="s">
        <v>975</v>
      </c>
      <c r="C613" s="7" t="s">
        <v>976</v>
      </c>
      <c r="D613" s="7" t="s">
        <v>242</v>
      </c>
      <c r="E613" s="7" t="s">
        <v>94</v>
      </c>
      <c r="F613" s="7" t="s">
        <v>183</v>
      </c>
      <c r="G613" s="7" t="s">
        <v>144</v>
      </c>
      <c r="H613" s="7" t="s">
        <v>270</v>
      </c>
      <c r="I613" s="7" t="s">
        <v>271</v>
      </c>
      <c r="J613" s="8" t="n">
        <v>46007</v>
      </c>
      <c r="K613" s="8" t="n">
        <v>46087</v>
      </c>
      <c r="L613" s="9" t="n">
        <f aca="false">K613-J613</f>
        <v>80</v>
      </c>
      <c r="M613" s="10" t="n">
        <v>74185.78</v>
      </c>
      <c r="N613" s="7" t="s">
        <v>99</v>
      </c>
      <c r="O613" s="7" t="s">
        <v>124</v>
      </c>
      <c r="P613" s="7"/>
      <c r="Q613" s="7"/>
      <c r="R613" s="7"/>
    </row>
    <row r="614" customFormat="false" ht="15" hidden="false" customHeight="false" outlineLevel="0" collapsed="false">
      <c r="A614" s="7" t="s">
        <v>1143</v>
      </c>
      <c r="B614" s="7" t="s">
        <v>1014</v>
      </c>
      <c r="C614" s="7" t="s">
        <v>1015</v>
      </c>
      <c r="D614" s="7" t="s">
        <v>151</v>
      </c>
      <c r="E614" s="7" t="s">
        <v>94</v>
      </c>
      <c r="F614" s="7" t="s">
        <v>106</v>
      </c>
      <c r="G614" s="7" t="s">
        <v>184</v>
      </c>
      <c r="H614" s="7" t="s">
        <v>108</v>
      </c>
      <c r="I614" s="7" t="s">
        <v>109</v>
      </c>
      <c r="J614" s="8" t="n">
        <v>46023</v>
      </c>
      <c r="K614" s="8" t="n">
        <v>46089</v>
      </c>
      <c r="L614" s="9" t="n">
        <f aca="false">K614-J614</f>
        <v>66</v>
      </c>
      <c r="M614" s="10" t="n">
        <v>58735.07</v>
      </c>
      <c r="N614" s="7" t="s">
        <v>131</v>
      </c>
      <c r="O614" s="7"/>
      <c r="P614" s="8" t="n">
        <v>46092</v>
      </c>
      <c r="Q614" s="7" t="n">
        <v>2</v>
      </c>
      <c r="R614" s="8" t="n">
        <f aca="false">EDATE(P614,Q614)</f>
        <v>46153</v>
      </c>
    </row>
    <row r="615" customFormat="false" ht="15" hidden="false" customHeight="false" outlineLevel="0" collapsed="false">
      <c r="A615" s="7" t="s">
        <v>1144</v>
      </c>
      <c r="B615" s="7" t="s">
        <v>102</v>
      </c>
      <c r="C615" s="7" t="s">
        <v>103</v>
      </c>
      <c r="D615" s="7" t="s">
        <v>104</v>
      </c>
      <c r="E615" s="7" t="s">
        <v>105</v>
      </c>
      <c r="F615" s="7" t="s">
        <v>136</v>
      </c>
      <c r="G615" s="7" t="s">
        <v>137</v>
      </c>
      <c r="H615" s="7" t="s">
        <v>281</v>
      </c>
      <c r="I615" s="7" t="s">
        <v>282</v>
      </c>
      <c r="J615" s="8" t="n">
        <v>46008</v>
      </c>
      <c r="K615" s="8" t="n">
        <v>46089</v>
      </c>
      <c r="L615" s="9" t="n">
        <f aca="false">K615-J615</f>
        <v>81</v>
      </c>
      <c r="M615" s="10" t="n">
        <v>113818.8</v>
      </c>
      <c r="N615" s="7" t="s">
        <v>99</v>
      </c>
      <c r="O615" s="7" t="s">
        <v>147</v>
      </c>
      <c r="P615" s="7"/>
      <c r="Q615" s="7"/>
      <c r="R615" s="7"/>
    </row>
    <row r="616" customFormat="false" ht="15" hidden="false" customHeight="false" outlineLevel="0" collapsed="false">
      <c r="A616" s="7" t="s">
        <v>1145</v>
      </c>
      <c r="B616" s="7" t="s">
        <v>208</v>
      </c>
      <c r="C616" s="7" t="s">
        <v>209</v>
      </c>
      <c r="D616" s="7" t="s">
        <v>114</v>
      </c>
      <c r="E616" s="7" t="s">
        <v>162</v>
      </c>
      <c r="F616" s="7" t="s">
        <v>157</v>
      </c>
      <c r="G616" s="7" t="s">
        <v>176</v>
      </c>
      <c r="H616" s="7" t="s">
        <v>231</v>
      </c>
      <c r="I616" s="7" t="s">
        <v>232</v>
      </c>
      <c r="J616" s="8" t="n">
        <v>46041</v>
      </c>
      <c r="K616" s="8" t="n">
        <v>46090</v>
      </c>
      <c r="L616" s="9" t="n">
        <f aca="false">K616-J616</f>
        <v>49</v>
      </c>
      <c r="M616" s="10" t="n">
        <v>54515.09</v>
      </c>
      <c r="N616" s="7" t="s">
        <v>99</v>
      </c>
      <c r="O616" s="7" t="s">
        <v>124</v>
      </c>
      <c r="P616" s="7"/>
      <c r="Q616" s="7"/>
      <c r="R616" s="7"/>
    </row>
    <row r="617" customFormat="false" ht="15" hidden="false" customHeight="false" outlineLevel="0" collapsed="false">
      <c r="A617" s="7" t="s">
        <v>1146</v>
      </c>
      <c r="B617" s="7" t="s">
        <v>284</v>
      </c>
      <c r="C617" s="7" t="s">
        <v>285</v>
      </c>
      <c r="D617" s="7" t="s">
        <v>201</v>
      </c>
      <c r="E617" s="7" t="s">
        <v>105</v>
      </c>
      <c r="F617" s="7" t="s">
        <v>116</v>
      </c>
      <c r="G617" s="7" t="s">
        <v>117</v>
      </c>
      <c r="H617" s="7" t="s">
        <v>205</v>
      </c>
      <c r="I617" s="7" t="s">
        <v>206</v>
      </c>
      <c r="J617" s="8" t="n">
        <v>46021</v>
      </c>
      <c r="K617" s="8" t="n">
        <v>46091</v>
      </c>
      <c r="L617" s="9" t="n">
        <f aca="false">K617-J617</f>
        <v>70</v>
      </c>
      <c r="M617" s="10" t="n">
        <v>109150.13</v>
      </c>
      <c r="N617" s="7" t="s">
        <v>131</v>
      </c>
      <c r="O617" s="7"/>
      <c r="P617" s="8" t="n">
        <v>46108</v>
      </c>
      <c r="Q617" s="7" t="n">
        <v>8</v>
      </c>
      <c r="R617" s="8" t="n">
        <f aca="false">EDATE(P617,Q617)</f>
        <v>46353</v>
      </c>
    </row>
    <row r="618" customFormat="false" ht="15" hidden="false" customHeight="false" outlineLevel="0" collapsed="false">
      <c r="A618" s="7" t="s">
        <v>1147</v>
      </c>
      <c r="B618" s="7" t="s">
        <v>467</v>
      </c>
      <c r="C618" s="7" t="s">
        <v>468</v>
      </c>
      <c r="D618" s="7" t="s">
        <v>93</v>
      </c>
      <c r="E618" s="7" t="s">
        <v>162</v>
      </c>
      <c r="F618" s="7" t="s">
        <v>116</v>
      </c>
      <c r="G618" s="7" t="s">
        <v>96</v>
      </c>
      <c r="H618" s="7" t="s">
        <v>205</v>
      </c>
      <c r="I618" s="7" t="s">
        <v>206</v>
      </c>
      <c r="J618" s="8" t="n">
        <v>46020</v>
      </c>
      <c r="K618" s="8" t="n">
        <v>46092</v>
      </c>
      <c r="L618" s="9" t="n">
        <f aca="false">K618-J618</f>
        <v>72</v>
      </c>
      <c r="M618" s="10" t="n">
        <v>167851.11</v>
      </c>
      <c r="N618" s="7" t="s">
        <v>99</v>
      </c>
      <c r="O618" s="7" t="s">
        <v>219</v>
      </c>
      <c r="P618" s="7"/>
      <c r="Q618" s="7"/>
      <c r="R618" s="7"/>
    </row>
    <row r="619" customFormat="false" ht="15" hidden="false" customHeight="false" outlineLevel="0" collapsed="false">
      <c r="A619" s="7" t="s">
        <v>1148</v>
      </c>
      <c r="B619" s="7" t="s">
        <v>362</v>
      </c>
      <c r="C619" s="7" t="s">
        <v>363</v>
      </c>
      <c r="D619" s="7" t="s">
        <v>195</v>
      </c>
      <c r="E619" s="7" t="s">
        <v>162</v>
      </c>
      <c r="F619" s="7" t="s">
        <v>183</v>
      </c>
      <c r="G619" s="7" t="s">
        <v>96</v>
      </c>
      <c r="H619" s="7" t="s">
        <v>305</v>
      </c>
      <c r="I619" s="7" t="s">
        <v>306</v>
      </c>
      <c r="J619" s="8" t="n">
        <v>46026</v>
      </c>
      <c r="K619" s="8" t="n">
        <v>46092</v>
      </c>
      <c r="L619" s="9" t="n">
        <f aca="false">K619-J619</f>
        <v>66</v>
      </c>
      <c r="M619" s="10" t="n">
        <v>96479.98</v>
      </c>
      <c r="N619" s="7" t="s">
        <v>131</v>
      </c>
      <c r="O619" s="7"/>
      <c r="P619" s="8" t="n">
        <v>46097</v>
      </c>
      <c r="Q619" s="7" t="n">
        <v>1</v>
      </c>
      <c r="R619" s="8" t="n">
        <f aca="false">EDATE(P619,Q619)</f>
        <v>46128</v>
      </c>
    </row>
    <row r="620" customFormat="false" ht="15" hidden="false" customHeight="false" outlineLevel="0" collapsed="false">
      <c r="A620" s="7" t="s">
        <v>1149</v>
      </c>
      <c r="B620" s="7" t="s">
        <v>490</v>
      </c>
      <c r="C620" s="7" t="s">
        <v>491</v>
      </c>
      <c r="D620" s="7" t="s">
        <v>195</v>
      </c>
      <c r="E620" s="7" t="s">
        <v>162</v>
      </c>
      <c r="F620" s="7" t="s">
        <v>128</v>
      </c>
      <c r="G620" s="7" t="s">
        <v>176</v>
      </c>
      <c r="H620" s="7" t="s">
        <v>196</v>
      </c>
      <c r="I620" s="7" t="s">
        <v>197</v>
      </c>
      <c r="J620" s="8" t="n">
        <v>46021</v>
      </c>
      <c r="K620" s="8" t="n">
        <v>46092</v>
      </c>
      <c r="L620" s="9" t="n">
        <f aca="false">K620-J620</f>
        <v>71</v>
      </c>
      <c r="M620" s="10" t="n">
        <v>140307.11</v>
      </c>
      <c r="N620" s="7" t="s">
        <v>99</v>
      </c>
      <c r="O620" s="7" t="s">
        <v>219</v>
      </c>
      <c r="P620" s="7"/>
      <c r="Q620" s="7"/>
      <c r="R620" s="7"/>
    </row>
    <row r="621" customFormat="false" ht="15" hidden="false" customHeight="false" outlineLevel="0" collapsed="false">
      <c r="A621" s="7" t="s">
        <v>1150</v>
      </c>
      <c r="B621" s="7" t="s">
        <v>769</v>
      </c>
      <c r="C621" s="7" t="s">
        <v>770</v>
      </c>
      <c r="D621" s="7" t="s">
        <v>114</v>
      </c>
      <c r="E621" s="7" t="s">
        <v>162</v>
      </c>
      <c r="F621" s="7" t="s">
        <v>95</v>
      </c>
      <c r="G621" s="7" t="s">
        <v>176</v>
      </c>
      <c r="H621" s="7" t="s">
        <v>281</v>
      </c>
      <c r="I621" s="7" t="s">
        <v>282</v>
      </c>
      <c r="J621" s="8" t="n">
        <v>46054</v>
      </c>
      <c r="K621" s="8" t="n">
        <v>46092</v>
      </c>
      <c r="L621" s="9" t="n">
        <f aca="false">K621-J621</f>
        <v>38</v>
      </c>
      <c r="M621" s="10" t="n">
        <v>37739.29</v>
      </c>
      <c r="N621" s="7" t="s">
        <v>99</v>
      </c>
      <c r="O621" s="7" t="s">
        <v>110</v>
      </c>
      <c r="P621" s="7"/>
      <c r="Q621" s="7"/>
      <c r="R621" s="7"/>
    </row>
    <row r="622" customFormat="false" ht="15" hidden="false" customHeight="false" outlineLevel="0" collapsed="false">
      <c r="A622" s="7" t="s">
        <v>1151</v>
      </c>
      <c r="B622" s="7" t="s">
        <v>193</v>
      </c>
      <c r="C622" s="7" t="s">
        <v>194</v>
      </c>
      <c r="D622" s="7" t="s">
        <v>195</v>
      </c>
      <c r="E622" s="7" t="s">
        <v>115</v>
      </c>
      <c r="F622" s="7" t="s">
        <v>183</v>
      </c>
      <c r="G622" s="7" t="s">
        <v>144</v>
      </c>
      <c r="H622" s="7" t="s">
        <v>177</v>
      </c>
      <c r="I622" s="7" t="s">
        <v>178</v>
      </c>
      <c r="J622" s="8" t="n">
        <v>45999</v>
      </c>
      <c r="K622" s="8" t="n">
        <v>46093</v>
      </c>
      <c r="L622" s="9" t="n">
        <f aca="false">K622-J622</f>
        <v>94</v>
      </c>
      <c r="M622" s="10" t="n">
        <v>70297.67</v>
      </c>
      <c r="N622" s="7" t="s">
        <v>131</v>
      </c>
      <c r="O622" s="7"/>
      <c r="P622" s="8" t="n">
        <v>46106</v>
      </c>
      <c r="Q622" s="7" t="n">
        <v>2</v>
      </c>
      <c r="R622" s="8" t="n">
        <f aca="false">EDATE(P622,Q622)</f>
        <v>46167</v>
      </c>
    </row>
    <row r="623" customFormat="false" ht="15" hidden="false" customHeight="false" outlineLevel="0" collapsed="false">
      <c r="A623" s="7" t="s">
        <v>1152</v>
      </c>
      <c r="B623" s="7" t="s">
        <v>623</v>
      </c>
      <c r="C623" s="7" t="s">
        <v>624</v>
      </c>
      <c r="D623" s="7" t="s">
        <v>93</v>
      </c>
      <c r="E623" s="7" t="s">
        <v>115</v>
      </c>
      <c r="F623" s="7" t="s">
        <v>157</v>
      </c>
      <c r="G623" s="7" t="s">
        <v>137</v>
      </c>
      <c r="H623" s="7" t="s">
        <v>205</v>
      </c>
      <c r="I623" s="7" t="s">
        <v>206</v>
      </c>
      <c r="J623" s="8" t="n">
        <v>46040</v>
      </c>
      <c r="K623" s="8" t="n">
        <v>46096</v>
      </c>
      <c r="L623" s="9" t="n">
        <f aca="false">K623-J623</f>
        <v>56</v>
      </c>
      <c r="M623" s="10" t="n">
        <v>19753.46</v>
      </c>
      <c r="N623" s="7" t="s">
        <v>99</v>
      </c>
      <c r="O623" s="7" t="s">
        <v>147</v>
      </c>
      <c r="P623" s="7"/>
      <c r="Q623" s="7"/>
      <c r="R623" s="7"/>
    </row>
    <row r="624" customFormat="false" ht="15" hidden="false" customHeight="false" outlineLevel="0" collapsed="false">
      <c r="A624" s="7" t="s">
        <v>1153</v>
      </c>
      <c r="B624" s="7" t="s">
        <v>975</v>
      </c>
      <c r="C624" s="7" t="s">
        <v>976</v>
      </c>
      <c r="D624" s="7" t="s">
        <v>242</v>
      </c>
      <c r="E624" s="7" t="s">
        <v>94</v>
      </c>
      <c r="F624" s="7" t="s">
        <v>183</v>
      </c>
      <c r="G624" s="7" t="s">
        <v>117</v>
      </c>
      <c r="H624" s="7" t="s">
        <v>171</v>
      </c>
      <c r="I624" s="7" t="s">
        <v>172</v>
      </c>
      <c r="J624" s="8" t="n">
        <v>46025</v>
      </c>
      <c r="K624" s="8" t="n">
        <v>46098</v>
      </c>
      <c r="L624" s="9" t="n">
        <f aca="false">K624-J624</f>
        <v>73</v>
      </c>
      <c r="M624" s="10" t="n">
        <v>81843.65</v>
      </c>
      <c r="N624" s="7" t="s">
        <v>99</v>
      </c>
      <c r="O624" s="7" t="s">
        <v>219</v>
      </c>
      <c r="P624" s="7"/>
      <c r="Q624" s="7"/>
      <c r="R624" s="7"/>
    </row>
    <row r="625" customFormat="false" ht="15" hidden="false" customHeight="false" outlineLevel="0" collapsed="false">
      <c r="A625" s="7" t="s">
        <v>1154</v>
      </c>
      <c r="B625" s="7" t="s">
        <v>821</v>
      </c>
      <c r="C625" s="7" t="s">
        <v>822</v>
      </c>
      <c r="D625" s="7" t="s">
        <v>201</v>
      </c>
      <c r="E625" s="7" t="s">
        <v>105</v>
      </c>
      <c r="F625" s="7" t="s">
        <v>143</v>
      </c>
      <c r="G625" s="7" t="s">
        <v>137</v>
      </c>
      <c r="H625" s="7" t="s">
        <v>108</v>
      </c>
      <c r="I625" s="7" t="s">
        <v>109</v>
      </c>
      <c r="J625" s="8" t="n">
        <v>45977</v>
      </c>
      <c r="K625" s="8" t="n">
        <v>46099</v>
      </c>
      <c r="L625" s="9" t="n">
        <f aca="false">K625-J625</f>
        <v>122</v>
      </c>
      <c r="M625" s="10" t="n">
        <v>323026.98</v>
      </c>
      <c r="N625" s="7" t="s">
        <v>99</v>
      </c>
      <c r="O625" s="7" t="s">
        <v>100</v>
      </c>
      <c r="P625" s="7"/>
      <c r="Q625" s="7"/>
      <c r="R625" s="7"/>
    </row>
    <row r="626" customFormat="false" ht="15" hidden="false" customHeight="false" outlineLevel="0" collapsed="false">
      <c r="A626" s="7" t="s">
        <v>1155</v>
      </c>
      <c r="B626" s="7" t="s">
        <v>340</v>
      </c>
      <c r="C626" s="7" t="s">
        <v>341</v>
      </c>
      <c r="D626" s="7" t="s">
        <v>151</v>
      </c>
      <c r="E626" s="7" t="s">
        <v>105</v>
      </c>
      <c r="F626" s="7" t="s">
        <v>143</v>
      </c>
      <c r="G626" s="7" t="s">
        <v>137</v>
      </c>
      <c r="H626" s="7" t="s">
        <v>171</v>
      </c>
      <c r="I626" s="7" t="s">
        <v>172</v>
      </c>
      <c r="J626" s="8" t="n">
        <v>45967</v>
      </c>
      <c r="K626" s="8" t="n">
        <v>46100</v>
      </c>
      <c r="L626" s="9" t="n">
        <f aca="false">K626-J626</f>
        <v>133</v>
      </c>
      <c r="M626" s="10" t="n">
        <v>276768.51</v>
      </c>
      <c r="N626" s="7" t="s">
        <v>99</v>
      </c>
      <c r="O626" s="7" t="s">
        <v>118</v>
      </c>
      <c r="P626" s="7"/>
      <c r="Q626" s="7"/>
      <c r="R626" s="7"/>
    </row>
    <row r="627" customFormat="false" ht="15" hidden="false" customHeight="false" outlineLevel="0" collapsed="false">
      <c r="A627" s="7" t="s">
        <v>1156</v>
      </c>
      <c r="B627" s="7" t="s">
        <v>485</v>
      </c>
      <c r="C627" s="7" t="s">
        <v>486</v>
      </c>
      <c r="D627" s="7" t="s">
        <v>151</v>
      </c>
      <c r="E627" s="7" t="s">
        <v>94</v>
      </c>
      <c r="F627" s="7" t="s">
        <v>183</v>
      </c>
      <c r="G627" s="7" t="s">
        <v>184</v>
      </c>
      <c r="H627" s="7" t="s">
        <v>145</v>
      </c>
      <c r="I627" s="7" t="s">
        <v>146</v>
      </c>
      <c r="J627" s="8" t="n">
        <v>46052</v>
      </c>
      <c r="K627" s="8" t="n">
        <v>46100</v>
      </c>
      <c r="L627" s="9" t="n">
        <f aca="false">K627-J627</f>
        <v>48</v>
      </c>
      <c r="M627" s="10" t="n">
        <v>80590.01</v>
      </c>
      <c r="N627" s="7" t="s">
        <v>99</v>
      </c>
      <c r="O627" s="7" t="s">
        <v>118</v>
      </c>
      <c r="P627" s="7"/>
      <c r="Q627" s="7"/>
      <c r="R627" s="7"/>
    </row>
    <row r="628" customFormat="false" ht="15" hidden="false" customHeight="false" outlineLevel="0" collapsed="false">
      <c r="A628" s="7" t="s">
        <v>1157</v>
      </c>
      <c r="B628" s="7" t="s">
        <v>160</v>
      </c>
      <c r="C628" s="7" t="s">
        <v>161</v>
      </c>
      <c r="D628" s="7" t="s">
        <v>151</v>
      </c>
      <c r="E628" s="7" t="s">
        <v>162</v>
      </c>
      <c r="F628" s="7" t="s">
        <v>128</v>
      </c>
      <c r="G628" s="7" t="s">
        <v>176</v>
      </c>
      <c r="H628" s="7" t="s">
        <v>180</v>
      </c>
      <c r="I628" s="7" t="s">
        <v>181</v>
      </c>
      <c r="J628" s="8" t="n">
        <v>46070</v>
      </c>
      <c r="K628" s="8" t="n">
        <v>46102</v>
      </c>
      <c r="L628" s="9" t="n">
        <f aca="false">K628-J628</f>
        <v>32</v>
      </c>
      <c r="M628" s="10" t="n">
        <v>101208.25</v>
      </c>
      <c r="N628" s="7" t="s">
        <v>99</v>
      </c>
      <c r="O628" s="7" t="s">
        <v>110</v>
      </c>
      <c r="P628" s="7"/>
      <c r="Q628" s="7"/>
      <c r="R628" s="7"/>
    </row>
    <row r="629" customFormat="false" ht="15" hidden="false" customHeight="false" outlineLevel="0" collapsed="false">
      <c r="A629" s="7" t="s">
        <v>1158</v>
      </c>
      <c r="B629" s="7" t="s">
        <v>457</v>
      </c>
      <c r="C629" s="7" t="s">
        <v>458</v>
      </c>
      <c r="D629" s="7" t="s">
        <v>242</v>
      </c>
      <c r="E629" s="7" t="s">
        <v>94</v>
      </c>
      <c r="F629" s="7" t="s">
        <v>136</v>
      </c>
      <c r="G629" s="7" t="s">
        <v>184</v>
      </c>
      <c r="H629" s="7" t="s">
        <v>166</v>
      </c>
      <c r="I629" s="7" t="s">
        <v>167</v>
      </c>
      <c r="J629" s="8" t="n">
        <v>45991</v>
      </c>
      <c r="K629" s="8" t="n">
        <v>46103</v>
      </c>
      <c r="L629" s="9" t="n">
        <f aca="false">K629-J629</f>
        <v>112</v>
      </c>
      <c r="M629" s="10" t="n">
        <v>103934.82</v>
      </c>
      <c r="N629" s="7" t="s">
        <v>131</v>
      </c>
      <c r="O629" s="7"/>
      <c r="P629" s="8" t="n">
        <v>46103</v>
      </c>
      <c r="Q629" s="7" t="n">
        <v>2</v>
      </c>
      <c r="R629" s="8" t="n">
        <f aca="false">EDATE(P629,Q629)</f>
        <v>46164</v>
      </c>
    </row>
    <row r="630" customFormat="false" ht="15" hidden="false" customHeight="false" outlineLevel="0" collapsed="false">
      <c r="A630" s="7" t="s">
        <v>1159</v>
      </c>
      <c r="B630" s="7" t="s">
        <v>330</v>
      </c>
      <c r="C630" s="7" t="s">
        <v>331</v>
      </c>
      <c r="D630" s="7" t="s">
        <v>242</v>
      </c>
      <c r="E630" s="7" t="s">
        <v>162</v>
      </c>
      <c r="F630" s="7" t="s">
        <v>143</v>
      </c>
      <c r="G630" s="7" t="s">
        <v>96</v>
      </c>
      <c r="H630" s="7" t="s">
        <v>152</v>
      </c>
      <c r="I630" s="7" t="s">
        <v>153</v>
      </c>
      <c r="J630" s="8" t="n">
        <v>46010</v>
      </c>
      <c r="K630" s="8" t="n">
        <v>46104</v>
      </c>
      <c r="L630" s="9" t="n">
        <f aca="false">K630-J630</f>
        <v>94</v>
      </c>
      <c r="M630" s="10" t="n">
        <v>64935.93</v>
      </c>
      <c r="N630" s="7" t="s">
        <v>99</v>
      </c>
      <c r="O630" s="7" t="s">
        <v>110</v>
      </c>
      <c r="P630" s="7"/>
      <c r="Q630" s="7"/>
      <c r="R630" s="7"/>
    </row>
    <row r="631" customFormat="false" ht="15" hidden="false" customHeight="false" outlineLevel="0" collapsed="false">
      <c r="A631" s="7" t="s">
        <v>1160</v>
      </c>
      <c r="B631" s="7" t="s">
        <v>334</v>
      </c>
      <c r="C631" s="7" t="s">
        <v>335</v>
      </c>
      <c r="D631" s="7" t="s">
        <v>242</v>
      </c>
      <c r="E631" s="7" t="s">
        <v>162</v>
      </c>
      <c r="F631" s="7" t="s">
        <v>106</v>
      </c>
      <c r="G631" s="7" t="s">
        <v>107</v>
      </c>
      <c r="H631" s="7" t="s">
        <v>196</v>
      </c>
      <c r="I631" s="7" t="s">
        <v>197</v>
      </c>
      <c r="J631" s="8" t="n">
        <v>46011</v>
      </c>
      <c r="K631" s="8" t="n">
        <v>46105</v>
      </c>
      <c r="L631" s="9" t="n">
        <f aca="false">K631-J631</f>
        <v>94</v>
      </c>
      <c r="M631" s="10" t="n">
        <v>46284.04</v>
      </c>
      <c r="N631" s="7" t="s">
        <v>99</v>
      </c>
      <c r="O631" s="7" t="s">
        <v>118</v>
      </c>
      <c r="P631" s="7"/>
      <c r="Q631" s="7"/>
      <c r="R631" s="7"/>
    </row>
    <row r="632" customFormat="false" ht="15" hidden="false" customHeight="false" outlineLevel="0" collapsed="false">
      <c r="A632" s="7" t="s">
        <v>1161</v>
      </c>
      <c r="B632" s="7" t="s">
        <v>91</v>
      </c>
      <c r="C632" s="7" t="s">
        <v>92</v>
      </c>
      <c r="D632" s="7" t="s">
        <v>93</v>
      </c>
      <c r="E632" s="7" t="s">
        <v>94</v>
      </c>
      <c r="F632" s="7" t="s">
        <v>136</v>
      </c>
      <c r="G632" s="7" t="s">
        <v>184</v>
      </c>
      <c r="H632" s="7" t="s">
        <v>177</v>
      </c>
      <c r="I632" s="7" t="s">
        <v>178</v>
      </c>
      <c r="J632" s="8" t="n">
        <v>46041</v>
      </c>
      <c r="K632" s="8" t="n">
        <v>46108</v>
      </c>
      <c r="L632" s="9" t="n">
        <f aca="false">K632-J632</f>
        <v>67</v>
      </c>
      <c r="M632" s="10" t="n">
        <v>61883.86</v>
      </c>
      <c r="N632" s="7" t="s">
        <v>99</v>
      </c>
      <c r="O632" s="7" t="s">
        <v>219</v>
      </c>
      <c r="P632" s="7"/>
      <c r="Q632" s="7"/>
      <c r="R632" s="7"/>
    </row>
    <row r="633" customFormat="false" ht="15" hidden="false" customHeight="false" outlineLevel="0" collapsed="false">
      <c r="A633" s="7" t="s">
        <v>1162</v>
      </c>
      <c r="B633" s="7" t="s">
        <v>318</v>
      </c>
      <c r="C633" s="7" t="s">
        <v>319</v>
      </c>
      <c r="D633" s="7" t="s">
        <v>114</v>
      </c>
      <c r="E633" s="7" t="s">
        <v>94</v>
      </c>
      <c r="F633" s="7" t="s">
        <v>106</v>
      </c>
      <c r="G633" s="7" t="s">
        <v>96</v>
      </c>
      <c r="H633" s="7" t="s">
        <v>145</v>
      </c>
      <c r="I633" s="7" t="s">
        <v>146</v>
      </c>
      <c r="J633" s="8" t="n">
        <v>46059</v>
      </c>
      <c r="K633" s="8" t="n">
        <v>46109</v>
      </c>
      <c r="L633" s="9" t="n">
        <f aca="false">K633-J633</f>
        <v>50</v>
      </c>
      <c r="M633" s="10" t="n">
        <v>108915.26</v>
      </c>
      <c r="N633" s="7" t="s">
        <v>131</v>
      </c>
      <c r="O633" s="7"/>
      <c r="P633" s="8" t="n">
        <v>46126</v>
      </c>
      <c r="Q633" s="7" t="n">
        <v>5</v>
      </c>
      <c r="R633" s="8" t="n">
        <f aca="false">EDATE(P633,Q633)</f>
        <v>46279</v>
      </c>
    </row>
    <row r="634" customFormat="false" ht="15" hidden="false" customHeight="false" outlineLevel="0" collapsed="false">
      <c r="A634" s="7" t="s">
        <v>1163</v>
      </c>
      <c r="B634" s="7" t="s">
        <v>529</v>
      </c>
      <c r="C634" s="7" t="s">
        <v>530</v>
      </c>
      <c r="D634" s="7" t="s">
        <v>195</v>
      </c>
      <c r="E634" s="7" t="s">
        <v>115</v>
      </c>
      <c r="F634" s="7" t="s">
        <v>95</v>
      </c>
      <c r="G634" s="7" t="s">
        <v>117</v>
      </c>
      <c r="H634" s="7" t="s">
        <v>180</v>
      </c>
      <c r="I634" s="7" t="s">
        <v>181</v>
      </c>
      <c r="J634" s="8" t="n">
        <v>46051</v>
      </c>
      <c r="K634" s="8" t="n">
        <v>46109</v>
      </c>
      <c r="L634" s="9" t="n">
        <f aca="false">K634-J634</f>
        <v>58</v>
      </c>
      <c r="M634" s="10" t="n">
        <v>49750.75</v>
      </c>
      <c r="N634" s="7" t="s">
        <v>131</v>
      </c>
      <c r="O634" s="7"/>
      <c r="P634" s="8" t="n">
        <v>46119</v>
      </c>
      <c r="Q634" s="7" t="n">
        <v>4</v>
      </c>
      <c r="R634" s="8" t="n">
        <f aca="false">EDATE(P634,Q634)</f>
        <v>46241</v>
      </c>
    </row>
    <row r="635" customFormat="false" ht="15" hidden="false" customHeight="false" outlineLevel="0" collapsed="false">
      <c r="A635" s="7" t="s">
        <v>1164</v>
      </c>
      <c r="B635" s="7" t="s">
        <v>303</v>
      </c>
      <c r="C635" s="7" t="s">
        <v>304</v>
      </c>
      <c r="D635" s="7" t="s">
        <v>93</v>
      </c>
      <c r="E635" s="7" t="s">
        <v>115</v>
      </c>
      <c r="F635" s="7" t="s">
        <v>106</v>
      </c>
      <c r="G635" s="7" t="s">
        <v>176</v>
      </c>
      <c r="H635" s="7" t="s">
        <v>171</v>
      </c>
      <c r="I635" s="7" t="s">
        <v>172</v>
      </c>
      <c r="J635" s="8" t="n">
        <v>46052</v>
      </c>
      <c r="K635" s="8" t="n">
        <v>46112</v>
      </c>
      <c r="L635" s="9" t="n">
        <f aca="false">K635-J635</f>
        <v>60</v>
      </c>
      <c r="M635" s="10" t="n">
        <v>63461.96</v>
      </c>
      <c r="N635" s="7" t="s">
        <v>99</v>
      </c>
      <c r="O635" s="7" t="s">
        <v>147</v>
      </c>
      <c r="P635" s="7"/>
      <c r="Q635" s="7"/>
      <c r="R635" s="7"/>
    </row>
    <row r="636" customFormat="false" ht="15" hidden="false" customHeight="false" outlineLevel="0" collapsed="false">
      <c r="A636" s="7" t="s">
        <v>1165</v>
      </c>
      <c r="B636" s="7" t="s">
        <v>418</v>
      </c>
      <c r="C636" s="7" t="s">
        <v>419</v>
      </c>
      <c r="D636" s="7" t="s">
        <v>93</v>
      </c>
      <c r="E636" s="7" t="s">
        <v>115</v>
      </c>
      <c r="F636" s="7" t="s">
        <v>157</v>
      </c>
      <c r="G636" s="7" t="s">
        <v>144</v>
      </c>
      <c r="H636" s="7" t="s">
        <v>97</v>
      </c>
      <c r="I636" s="7" t="s">
        <v>98</v>
      </c>
      <c r="J636" s="8" t="n">
        <v>46059</v>
      </c>
      <c r="K636" s="8" t="n">
        <v>46113</v>
      </c>
      <c r="L636" s="9" t="n">
        <f aca="false">K636-J636</f>
        <v>54</v>
      </c>
      <c r="M636" s="10" t="n">
        <v>60728.89</v>
      </c>
      <c r="N636" s="7" t="s">
        <v>131</v>
      </c>
      <c r="O636" s="7"/>
      <c r="P636" s="8" t="n">
        <v>46116</v>
      </c>
      <c r="Q636" s="7" t="n">
        <v>4</v>
      </c>
      <c r="R636" s="8" t="n">
        <f aca="false">EDATE(P636,Q636)</f>
        <v>46238</v>
      </c>
    </row>
    <row r="637" customFormat="false" ht="15" hidden="false" customHeight="false" outlineLevel="0" collapsed="false">
      <c r="A637" s="7" t="s">
        <v>1166</v>
      </c>
      <c r="B637" s="7" t="s">
        <v>395</v>
      </c>
      <c r="C637" s="7" t="s">
        <v>396</v>
      </c>
      <c r="D637" s="7" t="s">
        <v>195</v>
      </c>
      <c r="E637" s="7" t="s">
        <v>162</v>
      </c>
      <c r="F637" s="7" t="s">
        <v>106</v>
      </c>
      <c r="G637" s="7" t="s">
        <v>137</v>
      </c>
      <c r="H637" s="7" t="s">
        <v>145</v>
      </c>
      <c r="I637" s="7" t="s">
        <v>146</v>
      </c>
      <c r="J637" s="8" t="n">
        <v>46046</v>
      </c>
      <c r="K637" s="8" t="n">
        <v>46116</v>
      </c>
      <c r="L637" s="9" t="n">
        <f aca="false">K637-J637</f>
        <v>70</v>
      </c>
      <c r="M637" s="10" t="n">
        <v>72817.79</v>
      </c>
      <c r="N637" s="7" t="s">
        <v>131</v>
      </c>
      <c r="O637" s="7"/>
      <c r="P637" s="8" t="n">
        <v>46131</v>
      </c>
      <c r="Q637" s="7" t="n">
        <v>6</v>
      </c>
      <c r="R637" s="8" t="n">
        <f aca="false">EDATE(P637,Q637)</f>
        <v>46314</v>
      </c>
    </row>
    <row r="638" customFormat="false" ht="15" hidden="false" customHeight="false" outlineLevel="0" collapsed="false">
      <c r="A638" s="7" t="s">
        <v>1167</v>
      </c>
      <c r="B638" s="7" t="s">
        <v>521</v>
      </c>
      <c r="C638" s="7" t="s">
        <v>522</v>
      </c>
      <c r="D638" s="7" t="s">
        <v>151</v>
      </c>
      <c r="E638" s="7" t="s">
        <v>115</v>
      </c>
      <c r="F638" s="7" t="s">
        <v>143</v>
      </c>
      <c r="G638" s="7" t="s">
        <v>117</v>
      </c>
      <c r="H638" s="7" t="s">
        <v>190</v>
      </c>
      <c r="I638" s="7" t="s">
        <v>191</v>
      </c>
      <c r="J638" s="8" t="n">
        <v>46060</v>
      </c>
      <c r="K638" s="8" t="n">
        <v>46116</v>
      </c>
      <c r="L638" s="9" t="n">
        <f aca="false">K638-J638</f>
        <v>56</v>
      </c>
      <c r="M638" s="10" t="n">
        <v>192753.3</v>
      </c>
      <c r="N638" s="7" t="s">
        <v>99</v>
      </c>
      <c r="O638" s="7" t="s">
        <v>147</v>
      </c>
      <c r="P638" s="7"/>
      <c r="Q638" s="7"/>
      <c r="R638" s="7"/>
    </row>
    <row r="639" customFormat="false" ht="15" hidden="false" customHeight="false" outlineLevel="0" collapsed="false">
      <c r="A639" s="7" t="s">
        <v>1168</v>
      </c>
      <c r="B639" s="7" t="s">
        <v>199</v>
      </c>
      <c r="C639" s="7" t="s">
        <v>200</v>
      </c>
      <c r="D639" s="7" t="s">
        <v>201</v>
      </c>
      <c r="E639" s="7" t="s">
        <v>94</v>
      </c>
      <c r="F639" s="7" t="s">
        <v>106</v>
      </c>
      <c r="G639" s="7" t="s">
        <v>96</v>
      </c>
      <c r="H639" s="7" t="s">
        <v>196</v>
      </c>
      <c r="I639" s="7" t="s">
        <v>197</v>
      </c>
      <c r="J639" s="8" t="n">
        <v>46015</v>
      </c>
      <c r="K639" s="8" t="n">
        <v>46119</v>
      </c>
      <c r="L639" s="9" t="n">
        <f aca="false">K639-J639</f>
        <v>104</v>
      </c>
      <c r="M639" s="10" t="n">
        <v>89387.57</v>
      </c>
      <c r="N639" s="7" t="s">
        <v>99</v>
      </c>
      <c r="O639" s="7" t="s">
        <v>147</v>
      </c>
      <c r="P639" s="7"/>
      <c r="Q639" s="7"/>
      <c r="R639" s="7"/>
    </row>
    <row r="640" customFormat="false" ht="15" hidden="false" customHeight="false" outlineLevel="0" collapsed="false">
      <c r="A640" s="7" t="s">
        <v>1169</v>
      </c>
      <c r="B640" s="7" t="s">
        <v>592</v>
      </c>
      <c r="C640" s="7" t="s">
        <v>593</v>
      </c>
      <c r="D640" s="7" t="s">
        <v>114</v>
      </c>
      <c r="E640" s="7" t="s">
        <v>162</v>
      </c>
      <c r="F640" s="7" t="s">
        <v>116</v>
      </c>
      <c r="G640" s="7" t="s">
        <v>176</v>
      </c>
      <c r="H640" s="7" t="s">
        <v>223</v>
      </c>
      <c r="I640" s="7" t="s">
        <v>224</v>
      </c>
      <c r="J640" s="8" t="n">
        <v>46040</v>
      </c>
      <c r="K640" s="8" t="n">
        <v>46120</v>
      </c>
      <c r="L640" s="9" t="n">
        <f aca="false">K640-J640</f>
        <v>80</v>
      </c>
      <c r="M640" s="10" t="n">
        <v>37576.89</v>
      </c>
      <c r="N640" s="7" t="s">
        <v>99</v>
      </c>
      <c r="O640" s="7" t="s">
        <v>124</v>
      </c>
      <c r="P640" s="7"/>
      <c r="Q640" s="7"/>
      <c r="R640" s="7"/>
    </row>
    <row r="641" customFormat="false" ht="15" hidden="false" customHeight="false" outlineLevel="0" collapsed="false">
      <c r="A641" s="7" t="s">
        <v>1170</v>
      </c>
      <c r="B641" s="7" t="s">
        <v>318</v>
      </c>
      <c r="C641" s="7" t="s">
        <v>319</v>
      </c>
      <c r="D641" s="7" t="s">
        <v>114</v>
      </c>
      <c r="E641" s="7" t="s">
        <v>94</v>
      </c>
      <c r="F641" s="7" t="s">
        <v>136</v>
      </c>
      <c r="G641" s="7" t="s">
        <v>96</v>
      </c>
      <c r="H641" s="7" t="s">
        <v>108</v>
      </c>
      <c r="I641" s="7" t="s">
        <v>109</v>
      </c>
      <c r="J641" s="8" t="n">
        <v>46006</v>
      </c>
      <c r="K641" s="8" t="n">
        <v>46120</v>
      </c>
      <c r="L641" s="9" t="n">
        <f aca="false">K641-J641</f>
        <v>114</v>
      </c>
      <c r="M641" s="10" t="n">
        <v>177507.58</v>
      </c>
      <c r="N641" s="7" t="s">
        <v>99</v>
      </c>
      <c r="O641" s="7" t="s">
        <v>219</v>
      </c>
      <c r="P641" s="7"/>
      <c r="Q641" s="7"/>
      <c r="R641" s="7"/>
    </row>
    <row r="642" customFormat="false" ht="15" hidden="false" customHeight="false" outlineLevel="0" collapsed="false">
      <c r="A642" s="7" t="s">
        <v>1171</v>
      </c>
      <c r="B642" s="7" t="s">
        <v>188</v>
      </c>
      <c r="C642" s="7" t="s">
        <v>189</v>
      </c>
      <c r="D642" s="7" t="s">
        <v>151</v>
      </c>
      <c r="E642" s="7" t="s">
        <v>105</v>
      </c>
      <c r="F642" s="7" t="s">
        <v>157</v>
      </c>
      <c r="G642" s="7" t="s">
        <v>137</v>
      </c>
      <c r="H642" s="7" t="s">
        <v>281</v>
      </c>
      <c r="I642" s="7" t="s">
        <v>282</v>
      </c>
      <c r="J642" s="8" t="n">
        <v>46031</v>
      </c>
      <c r="K642" s="8" t="n">
        <v>46121</v>
      </c>
      <c r="L642" s="9" t="n">
        <f aca="false">K642-J642</f>
        <v>90</v>
      </c>
      <c r="M642" s="10" t="n">
        <v>185023.86</v>
      </c>
      <c r="N642" s="7" t="s">
        <v>131</v>
      </c>
      <c r="O642" s="7"/>
      <c r="P642" s="8" t="n">
        <v>46137</v>
      </c>
      <c r="Q642" s="7" t="n">
        <v>3</v>
      </c>
      <c r="R642" s="8" t="n">
        <f aca="false">EDATE(P642,Q642)</f>
        <v>46228</v>
      </c>
    </row>
    <row r="643" customFormat="false" ht="15" hidden="false" customHeight="false" outlineLevel="0" collapsed="false">
      <c r="A643" s="7" t="s">
        <v>1172</v>
      </c>
      <c r="B643" s="7" t="s">
        <v>1173</v>
      </c>
      <c r="C643" s="7" t="s">
        <v>1174</v>
      </c>
      <c r="D643" s="7" t="s">
        <v>93</v>
      </c>
      <c r="E643" s="7" t="s">
        <v>115</v>
      </c>
      <c r="F643" s="7" t="s">
        <v>95</v>
      </c>
      <c r="G643" s="7" t="s">
        <v>184</v>
      </c>
      <c r="H643" s="7" t="s">
        <v>205</v>
      </c>
      <c r="I643" s="7" t="s">
        <v>206</v>
      </c>
      <c r="J643" s="8" t="n">
        <v>46029</v>
      </c>
      <c r="K643" s="8" t="n">
        <v>46121</v>
      </c>
      <c r="L643" s="9" t="n">
        <f aca="false">K643-J643</f>
        <v>92</v>
      </c>
      <c r="M643" s="10" t="n">
        <v>98732.26</v>
      </c>
      <c r="N643" s="7" t="s">
        <v>131</v>
      </c>
      <c r="O643" s="7"/>
      <c r="P643" s="8" t="n">
        <v>46125</v>
      </c>
      <c r="Q643" s="7" t="n">
        <v>1</v>
      </c>
      <c r="R643" s="8" t="n">
        <f aca="false">EDATE(P643,Q643)</f>
        <v>46155</v>
      </c>
    </row>
    <row r="644" customFormat="false" ht="15" hidden="false" customHeight="false" outlineLevel="0" collapsed="false">
      <c r="A644" s="7" t="s">
        <v>1175</v>
      </c>
      <c r="B644" s="7" t="s">
        <v>318</v>
      </c>
      <c r="C644" s="7" t="s">
        <v>319</v>
      </c>
      <c r="D644" s="7" t="s">
        <v>114</v>
      </c>
      <c r="E644" s="7" t="s">
        <v>94</v>
      </c>
      <c r="F644" s="7" t="s">
        <v>128</v>
      </c>
      <c r="G644" s="7" t="s">
        <v>117</v>
      </c>
      <c r="H644" s="7" t="s">
        <v>402</v>
      </c>
      <c r="I644" s="7" t="s">
        <v>403</v>
      </c>
      <c r="J644" s="8" t="n">
        <v>46094</v>
      </c>
      <c r="K644" s="8" t="n">
        <v>46121</v>
      </c>
      <c r="L644" s="9" t="n">
        <f aca="false">K644-J644</f>
        <v>27</v>
      </c>
      <c r="M644" s="10" t="n">
        <v>95797.21</v>
      </c>
      <c r="N644" s="7" t="s">
        <v>99</v>
      </c>
      <c r="O644" s="7" t="s">
        <v>219</v>
      </c>
      <c r="P644" s="7"/>
      <c r="Q644" s="7"/>
      <c r="R644" s="7"/>
    </row>
    <row r="645" customFormat="false" ht="15" hidden="false" customHeight="false" outlineLevel="0" collapsed="false">
      <c r="A645" s="7" t="s">
        <v>1176</v>
      </c>
      <c r="B645" s="7" t="s">
        <v>253</v>
      </c>
      <c r="C645" s="7" t="s">
        <v>254</v>
      </c>
      <c r="D645" s="7" t="s">
        <v>242</v>
      </c>
      <c r="E645" s="7" t="s">
        <v>105</v>
      </c>
      <c r="F645" s="7" t="s">
        <v>143</v>
      </c>
      <c r="G645" s="7" t="s">
        <v>176</v>
      </c>
      <c r="H645" s="7" t="s">
        <v>138</v>
      </c>
      <c r="I645" s="7" t="s">
        <v>139</v>
      </c>
      <c r="J645" s="8" t="n">
        <v>46045</v>
      </c>
      <c r="K645" s="8" t="n">
        <v>46123</v>
      </c>
      <c r="L645" s="9" t="n">
        <f aca="false">K645-J645</f>
        <v>78</v>
      </c>
      <c r="M645" s="10" t="n">
        <v>81095.46</v>
      </c>
      <c r="N645" s="7" t="s">
        <v>99</v>
      </c>
      <c r="O645" s="7" t="s">
        <v>147</v>
      </c>
      <c r="P645" s="7"/>
      <c r="Q645" s="7"/>
      <c r="R645" s="7"/>
    </row>
    <row r="646" customFormat="false" ht="15" hidden="false" customHeight="false" outlineLevel="0" collapsed="false">
      <c r="A646" s="7" t="s">
        <v>1177</v>
      </c>
      <c r="B646" s="7" t="s">
        <v>606</v>
      </c>
      <c r="C646" s="7" t="s">
        <v>607</v>
      </c>
      <c r="D646" s="7" t="s">
        <v>135</v>
      </c>
      <c r="E646" s="7" t="s">
        <v>105</v>
      </c>
      <c r="F646" s="7" t="s">
        <v>128</v>
      </c>
      <c r="G646" s="7" t="s">
        <v>96</v>
      </c>
      <c r="H646" s="7" t="s">
        <v>190</v>
      </c>
      <c r="I646" s="7" t="s">
        <v>191</v>
      </c>
      <c r="J646" s="8" t="n">
        <v>46098</v>
      </c>
      <c r="K646" s="8" t="n">
        <v>46123</v>
      </c>
      <c r="L646" s="9" t="n">
        <f aca="false">K646-J646</f>
        <v>25</v>
      </c>
      <c r="M646" s="10" t="n">
        <v>62065.55</v>
      </c>
      <c r="N646" s="7" t="s">
        <v>99</v>
      </c>
      <c r="O646" s="7" t="s">
        <v>110</v>
      </c>
      <c r="P646" s="7"/>
      <c r="Q646" s="7"/>
      <c r="R646" s="7"/>
    </row>
    <row r="647" customFormat="false" ht="15" hidden="false" customHeight="false" outlineLevel="0" collapsed="false">
      <c r="A647" s="7" t="s">
        <v>1178</v>
      </c>
      <c r="B647" s="7" t="s">
        <v>1179</v>
      </c>
      <c r="C647" s="7" t="s">
        <v>1180</v>
      </c>
      <c r="D647" s="7" t="s">
        <v>195</v>
      </c>
      <c r="E647" s="7" t="s">
        <v>94</v>
      </c>
      <c r="F647" s="7" t="s">
        <v>143</v>
      </c>
      <c r="G647" s="7" t="s">
        <v>176</v>
      </c>
      <c r="H647" s="7" t="s">
        <v>231</v>
      </c>
      <c r="I647" s="7" t="s">
        <v>232</v>
      </c>
      <c r="J647" s="8" t="n">
        <v>46051</v>
      </c>
      <c r="K647" s="8" t="n">
        <v>46127</v>
      </c>
      <c r="L647" s="9" t="n">
        <f aca="false">K647-J647</f>
        <v>76</v>
      </c>
      <c r="M647" s="10" t="n">
        <v>76302.34</v>
      </c>
      <c r="N647" s="7" t="s">
        <v>99</v>
      </c>
      <c r="O647" s="7" t="s">
        <v>147</v>
      </c>
      <c r="P647" s="7"/>
      <c r="Q647" s="7"/>
      <c r="R647" s="7"/>
    </row>
    <row r="648" customFormat="false" ht="15" hidden="false" customHeight="false" outlineLevel="0" collapsed="false">
      <c r="A648" s="7" t="s">
        <v>1181</v>
      </c>
      <c r="B648" s="7" t="s">
        <v>284</v>
      </c>
      <c r="C648" s="7" t="s">
        <v>285</v>
      </c>
      <c r="D648" s="7" t="s">
        <v>201</v>
      </c>
      <c r="E648" s="7" t="s">
        <v>105</v>
      </c>
      <c r="F648" s="7" t="s">
        <v>157</v>
      </c>
      <c r="G648" s="7" t="s">
        <v>96</v>
      </c>
      <c r="H648" s="7" t="s">
        <v>185</v>
      </c>
      <c r="I648" s="7" t="s">
        <v>186</v>
      </c>
      <c r="J648" s="8" t="n">
        <v>46072</v>
      </c>
      <c r="K648" s="8" t="n">
        <v>46129</v>
      </c>
      <c r="L648" s="9" t="n">
        <f aca="false">K648-J648</f>
        <v>57</v>
      </c>
      <c r="M648" s="10" t="n">
        <v>29172.56</v>
      </c>
      <c r="N648" s="7" t="s">
        <v>99</v>
      </c>
      <c r="O648" s="7" t="s">
        <v>118</v>
      </c>
      <c r="P648" s="7"/>
      <c r="Q648" s="7"/>
      <c r="R648" s="7"/>
    </row>
    <row r="649" customFormat="false" ht="15" hidden="false" customHeight="false" outlineLevel="0" collapsed="false">
      <c r="A649" s="7" t="s">
        <v>1182</v>
      </c>
      <c r="B649" s="7" t="s">
        <v>141</v>
      </c>
      <c r="C649" s="7" t="s">
        <v>142</v>
      </c>
      <c r="D649" s="7" t="s">
        <v>104</v>
      </c>
      <c r="E649" s="7" t="s">
        <v>105</v>
      </c>
      <c r="F649" s="7" t="s">
        <v>143</v>
      </c>
      <c r="G649" s="7" t="s">
        <v>107</v>
      </c>
      <c r="H649" s="7" t="s">
        <v>190</v>
      </c>
      <c r="I649" s="7" t="s">
        <v>191</v>
      </c>
      <c r="J649" s="8" t="n">
        <v>46060</v>
      </c>
      <c r="K649" s="8" t="n">
        <v>46131</v>
      </c>
      <c r="L649" s="9" t="n">
        <f aca="false">K649-J649</f>
        <v>71</v>
      </c>
      <c r="M649" s="10" t="n">
        <v>120795.44</v>
      </c>
      <c r="N649" s="7" t="s">
        <v>99</v>
      </c>
      <c r="O649" s="7" t="s">
        <v>124</v>
      </c>
      <c r="P649" s="7"/>
      <c r="Q649" s="7"/>
      <c r="R649" s="7"/>
    </row>
    <row r="650" customFormat="false" ht="15" hidden="false" customHeight="false" outlineLevel="0" collapsed="false">
      <c r="A650" s="7" t="s">
        <v>1183</v>
      </c>
      <c r="B650" s="7" t="s">
        <v>164</v>
      </c>
      <c r="C650" s="7" t="s">
        <v>165</v>
      </c>
      <c r="D650" s="7" t="s">
        <v>151</v>
      </c>
      <c r="E650" s="7" t="s">
        <v>94</v>
      </c>
      <c r="F650" s="7" t="s">
        <v>136</v>
      </c>
      <c r="G650" s="7" t="s">
        <v>107</v>
      </c>
      <c r="H650" s="7" t="s">
        <v>223</v>
      </c>
      <c r="I650" s="7" t="s">
        <v>224</v>
      </c>
      <c r="J650" s="8" t="n">
        <v>46056</v>
      </c>
      <c r="K650" s="8" t="n">
        <v>46131</v>
      </c>
      <c r="L650" s="9" t="n">
        <f aca="false">K650-J650</f>
        <v>75</v>
      </c>
      <c r="M650" s="10" t="n">
        <v>127414.13</v>
      </c>
      <c r="N650" s="7" t="s">
        <v>99</v>
      </c>
      <c r="O650" s="7" t="s">
        <v>124</v>
      </c>
      <c r="P650" s="7"/>
      <c r="Q650" s="7"/>
      <c r="R650" s="7"/>
    </row>
    <row r="651" customFormat="false" ht="15" hidden="false" customHeight="false" outlineLevel="0" collapsed="false">
      <c r="A651" s="7" t="s">
        <v>1184</v>
      </c>
      <c r="B651" s="7" t="s">
        <v>102</v>
      </c>
      <c r="C651" s="7" t="s">
        <v>103</v>
      </c>
      <c r="D651" s="7" t="s">
        <v>104</v>
      </c>
      <c r="E651" s="7" t="s">
        <v>105</v>
      </c>
      <c r="F651" s="7" t="s">
        <v>128</v>
      </c>
      <c r="G651" s="7" t="s">
        <v>96</v>
      </c>
      <c r="H651" s="7" t="s">
        <v>305</v>
      </c>
      <c r="I651" s="7" t="s">
        <v>306</v>
      </c>
      <c r="J651" s="8" t="n">
        <v>46068</v>
      </c>
      <c r="K651" s="8" t="n">
        <v>46131</v>
      </c>
      <c r="L651" s="9" t="n">
        <f aca="false">K651-J651</f>
        <v>63</v>
      </c>
      <c r="M651" s="10" t="n">
        <v>66474.11</v>
      </c>
      <c r="N651" s="7" t="s">
        <v>131</v>
      </c>
      <c r="O651" s="7"/>
      <c r="P651" s="8" t="n">
        <v>46150</v>
      </c>
      <c r="Q651" s="7" t="n">
        <v>3</v>
      </c>
      <c r="R651" s="8" t="n">
        <f aca="false">EDATE(P651,Q651)</f>
        <v>46242</v>
      </c>
    </row>
    <row r="652" customFormat="false" ht="15" hidden="false" customHeight="false" outlineLevel="0" collapsed="false">
      <c r="A652" s="7" t="s">
        <v>1185</v>
      </c>
      <c r="B652" s="7" t="s">
        <v>284</v>
      </c>
      <c r="C652" s="7" t="s">
        <v>285</v>
      </c>
      <c r="D652" s="7" t="s">
        <v>201</v>
      </c>
      <c r="E652" s="7" t="s">
        <v>105</v>
      </c>
      <c r="F652" s="7" t="s">
        <v>157</v>
      </c>
      <c r="G652" s="7" t="s">
        <v>137</v>
      </c>
      <c r="H652" s="7" t="s">
        <v>258</v>
      </c>
      <c r="I652" s="7" t="s">
        <v>259</v>
      </c>
      <c r="J652" s="8" t="n">
        <v>46048</v>
      </c>
      <c r="K652" s="8" t="n">
        <v>46131</v>
      </c>
      <c r="L652" s="9" t="n">
        <f aca="false">K652-J652</f>
        <v>83</v>
      </c>
      <c r="M652" s="10" t="n">
        <v>86342.09</v>
      </c>
      <c r="N652" s="7" t="s">
        <v>99</v>
      </c>
      <c r="O652" s="7" t="s">
        <v>110</v>
      </c>
      <c r="P652" s="7"/>
      <c r="Q652" s="7"/>
      <c r="R652" s="7"/>
    </row>
    <row r="653" customFormat="false" ht="15" hidden="false" customHeight="false" outlineLevel="0" collapsed="false">
      <c r="A653" s="7" t="s">
        <v>1186</v>
      </c>
      <c r="B653" s="7" t="s">
        <v>149</v>
      </c>
      <c r="C653" s="7" t="s">
        <v>150</v>
      </c>
      <c r="D653" s="7" t="s">
        <v>151</v>
      </c>
      <c r="E653" s="7" t="s">
        <v>94</v>
      </c>
      <c r="F653" s="7" t="s">
        <v>95</v>
      </c>
      <c r="G653" s="7" t="s">
        <v>107</v>
      </c>
      <c r="H653" s="7" t="s">
        <v>223</v>
      </c>
      <c r="I653" s="7" t="s">
        <v>224</v>
      </c>
      <c r="J653" s="8" t="n">
        <v>46053</v>
      </c>
      <c r="K653" s="8" t="n">
        <v>46132</v>
      </c>
      <c r="L653" s="9" t="n">
        <f aca="false">K653-J653</f>
        <v>79</v>
      </c>
      <c r="M653" s="10" t="n">
        <v>67584.26</v>
      </c>
      <c r="N653" s="7" t="s">
        <v>99</v>
      </c>
      <c r="O653" s="7" t="s">
        <v>118</v>
      </c>
      <c r="P653" s="7"/>
      <c r="Q653" s="7"/>
      <c r="R653" s="7"/>
    </row>
    <row r="654" customFormat="false" ht="15" hidden="false" customHeight="false" outlineLevel="0" collapsed="false">
      <c r="A654" s="7" t="s">
        <v>1187</v>
      </c>
      <c r="B654" s="7" t="s">
        <v>244</v>
      </c>
      <c r="C654" s="7" t="s">
        <v>245</v>
      </c>
      <c r="D654" s="7" t="s">
        <v>135</v>
      </c>
      <c r="E654" s="7" t="s">
        <v>162</v>
      </c>
      <c r="F654" s="7" t="s">
        <v>143</v>
      </c>
      <c r="G654" s="7" t="s">
        <v>137</v>
      </c>
      <c r="H654" s="7" t="s">
        <v>185</v>
      </c>
      <c r="I654" s="7" t="s">
        <v>186</v>
      </c>
      <c r="J654" s="8" t="n">
        <v>46066</v>
      </c>
      <c r="K654" s="8" t="n">
        <v>46133</v>
      </c>
      <c r="L654" s="9" t="n">
        <f aca="false">K654-J654</f>
        <v>67</v>
      </c>
      <c r="M654" s="10" t="n">
        <v>73137.86</v>
      </c>
      <c r="N654" s="7" t="s">
        <v>99</v>
      </c>
      <c r="O654" s="7" t="s">
        <v>124</v>
      </c>
      <c r="P654" s="7"/>
      <c r="Q654" s="7"/>
      <c r="R654" s="7"/>
    </row>
    <row r="655" customFormat="false" ht="15" hidden="false" customHeight="false" outlineLevel="0" collapsed="false">
      <c r="A655" s="7" t="s">
        <v>1188</v>
      </c>
      <c r="B655" s="7" t="s">
        <v>234</v>
      </c>
      <c r="C655" s="7" t="s">
        <v>235</v>
      </c>
      <c r="D655" s="7" t="s">
        <v>114</v>
      </c>
      <c r="E655" s="7" t="s">
        <v>115</v>
      </c>
      <c r="F655" s="7" t="s">
        <v>183</v>
      </c>
      <c r="G655" s="7" t="s">
        <v>184</v>
      </c>
      <c r="H655" s="7" t="s">
        <v>205</v>
      </c>
      <c r="I655" s="7" t="s">
        <v>206</v>
      </c>
      <c r="J655" s="8" t="n">
        <v>46024</v>
      </c>
      <c r="K655" s="8" t="n">
        <v>46134</v>
      </c>
      <c r="L655" s="9" t="n">
        <f aca="false">K655-J655</f>
        <v>110</v>
      </c>
      <c r="M655" s="10" t="n">
        <v>238743.62</v>
      </c>
      <c r="N655" s="7" t="s">
        <v>99</v>
      </c>
      <c r="O655" s="7" t="s">
        <v>118</v>
      </c>
      <c r="P655" s="7"/>
      <c r="Q655" s="7"/>
      <c r="R655" s="7"/>
    </row>
    <row r="656" customFormat="false" ht="15" hidden="false" customHeight="false" outlineLevel="0" collapsed="false">
      <c r="A656" s="7" t="s">
        <v>1189</v>
      </c>
      <c r="B656" s="7" t="s">
        <v>633</v>
      </c>
      <c r="C656" s="7" t="s">
        <v>634</v>
      </c>
      <c r="D656" s="7" t="s">
        <v>242</v>
      </c>
      <c r="E656" s="7" t="s">
        <v>94</v>
      </c>
      <c r="F656" s="7" t="s">
        <v>136</v>
      </c>
      <c r="G656" s="7" t="s">
        <v>137</v>
      </c>
      <c r="H656" s="7" t="s">
        <v>270</v>
      </c>
      <c r="I656" s="7" t="s">
        <v>271</v>
      </c>
      <c r="J656" s="8" t="n">
        <v>46038</v>
      </c>
      <c r="K656" s="8" t="n">
        <v>46134</v>
      </c>
      <c r="L656" s="9" t="n">
        <f aca="false">K656-J656</f>
        <v>96</v>
      </c>
      <c r="M656" s="10" t="n">
        <v>69264.71</v>
      </c>
      <c r="N656" s="7" t="s">
        <v>99</v>
      </c>
      <c r="O656" s="7" t="s">
        <v>118</v>
      </c>
      <c r="P656" s="7"/>
      <c r="Q656" s="7"/>
      <c r="R656" s="7"/>
    </row>
    <row r="657" customFormat="false" ht="15" hidden="false" customHeight="false" outlineLevel="0" collapsed="false">
      <c r="A657" s="7" t="s">
        <v>1190</v>
      </c>
      <c r="B657" s="7" t="s">
        <v>250</v>
      </c>
      <c r="C657" s="7" t="s">
        <v>251</v>
      </c>
      <c r="D657" s="7" t="s">
        <v>195</v>
      </c>
      <c r="E657" s="7" t="s">
        <v>105</v>
      </c>
      <c r="F657" s="7" t="s">
        <v>128</v>
      </c>
      <c r="G657" s="7" t="s">
        <v>107</v>
      </c>
      <c r="H657" s="7" t="s">
        <v>223</v>
      </c>
      <c r="I657" s="7" t="s">
        <v>224</v>
      </c>
      <c r="J657" s="8" t="n">
        <v>46040</v>
      </c>
      <c r="K657" s="8" t="n">
        <v>46136</v>
      </c>
      <c r="L657" s="9" t="n">
        <f aca="false">K657-J657</f>
        <v>96</v>
      </c>
      <c r="M657" s="10" t="n">
        <v>43207.68</v>
      </c>
      <c r="N657" s="7" t="s">
        <v>131</v>
      </c>
      <c r="O657" s="7"/>
      <c r="P657" s="8" t="n">
        <v>46143</v>
      </c>
      <c r="Q657" s="7" t="n">
        <v>1</v>
      </c>
      <c r="R657" s="8" t="n">
        <f aca="false">EDATE(P657,Q657)</f>
        <v>46174</v>
      </c>
    </row>
    <row r="658" customFormat="false" ht="15" hidden="false" customHeight="false" outlineLevel="0" collapsed="false">
      <c r="A658" s="7" t="s">
        <v>1191</v>
      </c>
      <c r="B658" s="7" t="s">
        <v>226</v>
      </c>
      <c r="C658" s="7" t="s">
        <v>227</v>
      </c>
      <c r="D658" s="7" t="s">
        <v>93</v>
      </c>
      <c r="E658" s="7" t="s">
        <v>105</v>
      </c>
      <c r="F658" s="7" t="s">
        <v>116</v>
      </c>
      <c r="G658" s="7" t="s">
        <v>184</v>
      </c>
      <c r="H658" s="7" t="s">
        <v>231</v>
      </c>
      <c r="I658" s="7" t="s">
        <v>232</v>
      </c>
      <c r="J658" s="8" t="n">
        <v>46053</v>
      </c>
      <c r="K658" s="8" t="n">
        <v>46137</v>
      </c>
      <c r="L658" s="9" t="n">
        <f aca="false">K658-J658</f>
        <v>84</v>
      </c>
      <c r="M658" s="10" t="n">
        <v>280457.39</v>
      </c>
      <c r="N658" s="7" t="s">
        <v>99</v>
      </c>
      <c r="O658" s="7" t="s">
        <v>110</v>
      </c>
      <c r="P658" s="7"/>
      <c r="Q658" s="7"/>
      <c r="R658" s="7"/>
    </row>
    <row r="659" customFormat="false" ht="15" hidden="false" customHeight="false" outlineLevel="0" collapsed="false">
      <c r="A659" s="7" t="s">
        <v>1192</v>
      </c>
      <c r="B659" s="7" t="s">
        <v>318</v>
      </c>
      <c r="C659" s="7" t="s">
        <v>319</v>
      </c>
      <c r="D659" s="7" t="s">
        <v>114</v>
      </c>
      <c r="E659" s="7" t="s">
        <v>94</v>
      </c>
      <c r="F659" s="7" t="s">
        <v>183</v>
      </c>
      <c r="G659" s="7" t="s">
        <v>107</v>
      </c>
      <c r="H659" s="7" t="s">
        <v>305</v>
      </c>
      <c r="I659" s="7" t="s">
        <v>306</v>
      </c>
      <c r="J659" s="8" t="n">
        <v>46062</v>
      </c>
      <c r="K659" s="8" t="n">
        <v>46137</v>
      </c>
      <c r="L659" s="9" t="n">
        <f aca="false">K659-J659</f>
        <v>75</v>
      </c>
      <c r="M659" s="10" t="n">
        <v>64970.61</v>
      </c>
      <c r="N659" s="7" t="s">
        <v>99</v>
      </c>
      <c r="O659" s="7" t="s">
        <v>100</v>
      </c>
      <c r="P659" s="7"/>
      <c r="Q659" s="7"/>
      <c r="R659" s="7"/>
    </row>
    <row r="660" customFormat="false" ht="15" hidden="false" customHeight="false" outlineLevel="0" collapsed="false">
      <c r="A660" s="7" t="s">
        <v>1193</v>
      </c>
      <c r="B660" s="7" t="s">
        <v>311</v>
      </c>
      <c r="C660" s="7" t="s">
        <v>312</v>
      </c>
      <c r="D660" s="7" t="s">
        <v>135</v>
      </c>
      <c r="E660" s="7" t="s">
        <v>105</v>
      </c>
      <c r="F660" s="7" t="s">
        <v>128</v>
      </c>
      <c r="G660" s="7" t="s">
        <v>117</v>
      </c>
      <c r="H660" s="7" t="s">
        <v>278</v>
      </c>
      <c r="I660" s="7" t="s">
        <v>279</v>
      </c>
      <c r="J660" s="8" t="n">
        <v>46054</v>
      </c>
      <c r="K660" s="8" t="n">
        <v>46139</v>
      </c>
      <c r="L660" s="9" t="n">
        <f aca="false">K660-J660</f>
        <v>85</v>
      </c>
      <c r="M660" s="10" t="n">
        <v>36250.79</v>
      </c>
      <c r="N660" s="7" t="s">
        <v>99</v>
      </c>
      <c r="O660" s="7" t="s">
        <v>100</v>
      </c>
      <c r="P660" s="7"/>
      <c r="Q660" s="7"/>
      <c r="R660" s="7"/>
    </row>
    <row r="661" customFormat="false" ht="15" hidden="false" customHeight="false" outlineLevel="0" collapsed="false">
      <c r="A661" s="7" t="s">
        <v>1194</v>
      </c>
      <c r="B661" s="7" t="s">
        <v>102</v>
      </c>
      <c r="C661" s="7" t="s">
        <v>103</v>
      </c>
      <c r="D661" s="7" t="s">
        <v>104</v>
      </c>
      <c r="E661" s="7" t="s">
        <v>105</v>
      </c>
      <c r="F661" s="7" t="s">
        <v>136</v>
      </c>
      <c r="G661" s="7" t="s">
        <v>117</v>
      </c>
      <c r="H661" s="7" t="s">
        <v>402</v>
      </c>
      <c r="I661" s="7" t="s">
        <v>403</v>
      </c>
      <c r="J661" s="8" t="n">
        <v>46045</v>
      </c>
      <c r="K661" s="8" t="n">
        <v>46140</v>
      </c>
      <c r="L661" s="9" t="n">
        <f aca="false">K661-J661</f>
        <v>95</v>
      </c>
      <c r="M661" s="10" t="n">
        <v>138005.64</v>
      </c>
      <c r="N661" s="7" t="s">
        <v>131</v>
      </c>
      <c r="O661" s="7"/>
      <c r="P661" s="8" t="n">
        <v>46163</v>
      </c>
      <c r="Q661" s="7" t="n">
        <v>2</v>
      </c>
      <c r="R661" s="8" t="n">
        <f aca="false">EDATE(P661,Q661)</f>
        <v>46224</v>
      </c>
    </row>
    <row r="662" customFormat="false" ht="15" hidden="false" customHeight="false" outlineLevel="0" collapsed="false">
      <c r="A662" s="7" t="s">
        <v>1195</v>
      </c>
      <c r="B662" s="7" t="s">
        <v>91</v>
      </c>
      <c r="C662" s="7" t="s">
        <v>92</v>
      </c>
      <c r="D662" s="7" t="s">
        <v>93</v>
      </c>
      <c r="E662" s="7" t="s">
        <v>94</v>
      </c>
      <c r="F662" s="7" t="s">
        <v>128</v>
      </c>
      <c r="G662" s="7" t="s">
        <v>96</v>
      </c>
      <c r="H662" s="7" t="s">
        <v>129</v>
      </c>
      <c r="I662" s="7" t="s">
        <v>130</v>
      </c>
      <c r="J662" s="8" t="n">
        <v>46096</v>
      </c>
      <c r="K662" s="8" t="n">
        <v>46140</v>
      </c>
      <c r="L662" s="9" t="n">
        <f aca="false">K662-J662</f>
        <v>44</v>
      </c>
      <c r="M662" s="10" t="n">
        <v>15000</v>
      </c>
      <c r="N662" s="7" t="s">
        <v>99</v>
      </c>
      <c r="O662" s="7" t="s">
        <v>219</v>
      </c>
      <c r="P662" s="7"/>
      <c r="Q662" s="7"/>
      <c r="R662" s="7"/>
    </row>
    <row r="663" customFormat="false" ht="15" hidden="false" customHeight="false" outlineLevel="0" collapsed="false">
      <c r="A663" s="7" t="s">
        <v>1196</v>
      </c>
      <c r="B663" s="7" t="s">
        <v>334</v>
      </c>
      <c r="C663" s="7" t="s">
        <v>335</v>
      </c>
      <c r="D663" s="7" t="s">
        <v>242</v>
      </c>
      <c r="E663" s="7" t="s">
        <v>162</v>
      </c>
      <c r="F663" s="7" t="s">
        <v>136</v>
      </c>
      <c r="G663" s="7" t="s">
        <v>137</v>
      </c>
      <c r="H663" s="7" t="s">
        <v>270</v>
      </c>
      <c r="I663" s="7" t="s">
        <v>271</v>
      </c>
      <c r="J663" s="8" t="n">
        <v>46039</v>
      </c>
      <c r="K663" s="8" t="n">
        <v>46141</v>
      </c>
      <c r="L663" s="9" t="n">
        <f aca="false">K663-J663</f>
        <v>102</v>
      </c>
      <c r="M663" s="10" t="n">
        <v>221691.53</v>
      </c>
      <c r="N663" s="7" t="s">
        <v>99</v>
      </c>
      <c r="O663" s="7" t="s">
        <v>118</v>
      </c>
      <c r="P663" s="7"/>
      <c r="Q663" s="7"/>
      <c r="R663" s="7"/>
    </row>
    <row r="664" customFormat="false" ht="15" hidden="false" customHeight="false" outlineLevel="0" collapsed="false">
      <c r="A664" s="7" t="s">
        <v>1197</v>
      </c>
      <c r="B664" s="7" t="s">
        <v>359</v>
      </c>
      <c r="C664" s="7" t="s">
        <v>360</v>
      </c>
      <c r="D664" s="7" t="s">
        <v>114</v>
      </c>
      <c r="E664" s="7" t="s">
        <v>94</v>
      </c>
      <c r="F664" s="7" t="s">
        <v>136</v>
      </c>
      <c r="G664" s="7" t="s">
        <v>107</v>
      </c>
      <c r="H664" s="7" t="s">
        <v>129</v>
      </c>
      <c r="I664" s="7" t="s">
        <v>130</v>
      </c>
      <c r="J664" s="8" t="n">
        <v>46049</v>
      </c>
      <c r="K664" s="8" t="n">
        <v>46141</v>
      </c>
      <c r="L664" s="9" t="n">
        <f aca="false">K664-J664</f>
        <v>92</v>
      </c>
      <c r="M664" s="10" t="n">
        <v>85901.29</v>
      </c>
      <c r="N664" s="7" t="s">
        <v>99</v>
      </c>
      <c r="O664" s="7" t="s">
        <v>124</v>
      </c>
      <c r="P664" s="7"/>
      <c r="Q664" s="7"/>
      <c r="R664" s="7"/>
    </row>
    <row r="665" customFormat="false" ht="15" hidden="false" customHeight="false" outlineLevel="0" collapsed="false">
      <c r="A665" s="7" t="s">
        <v>1198</v>
      </c>
      <c r="B665" s="7" t="s">
        <v>284</v>
      </c>
      <c r="C665" s="7" t="s">
        <v>285</v>
      </c>
      <c r="D665" s="7" t="s">
        <v>201</v>
      </c>
      <c r="E665" s="7" t="s">
        <v>105</v>
      </c>
      <c r="F665" s="7" t="s">
        <v>95</v>
      </c>
      <c r="G665" s="7" t="s">
        <v>176</v>
      </c>
      <c r="H665" s="7" t="s">
        <v>138</v>
      </c>
      <c r="I665" s="7" t="s">
        <v>139</v>
      </c>
      <c r="J665" s="8" t="n">
        <v>46059</v>
      </c>
      <c r="K665" s="8" t="n">
        <v>46143</v>
      </c>
      <c r="L665" s="9" t="n">
        <f aca="false">K665-J665</f>
        <v>84</v>
      </c>
      <c r="M665" s="10" t="n">
        <v>90693.39</v>
      </c>
      <c r="N665" s="7" t="s">
        <v>99</v>
      </c>
      <c r="O665" s="7" t="s">
        <v>147</v>
      </c>
      <c r="P665" s="7"/>
      <c r="Q665" s="7"/>
      <c r="R665" s="7"/>
    </row>
    <row r="666" customFormat="false" ht="15" hidden="false" customHeight="false" outlineLevel="0" collapsed="false">
      <c r="A666" s="7" t="s">
        <v>1199</v>
      </c>
      <c r="B666" s="7" t="s">
        <v>321</v>
      </c>
      <c r="C666" s="7" t="s">
        <v>322</v>
      </c>
      <c r="D666" s="7" t="s">
        <v>201</v>
      </c>
      <c r="E666" s="7" t="s">
        <v>94</v>
      </c>
      <c r="F666" s="7" t="s">
        <v>183</v>
      </c>
      <c r="G666" s="7" t="s">
        <v>176</v>
      </c>
      <c r="H666" s="7" t="s">
        <v>278</v>
      </c>
      <c r="I666" s="7" t="s">
        <v>279</v>
      </c>
      <c r="J666" s="8" t="n">
        <v>46102</v>
      </c>
      <c r="K666" s="8" t="n">
        <v>46146</v>
      </c>
      <c r="L666" s="9" t="n">
        <f aca="false">K666-J666</f>
        <v>44</v>
      </c>
      <c r="M666" s="10" t="n">
        <v>113150.32</v>
      </c>
      <c r="N666" s="7" t="s">
        <v>99</v>
      </c>
      <c r="O666" s="7" t="s">
        <v>124</v>
      </c>
      <c r="P666" s="7"/>
      <c r="Q666" s="7"/>
      <c r="R666" s="7"/>
    </row>
    <row r="667" customFormat="false" ht="15" hidden="false" customHeight="false" outlineLevel="0" collapsed="false">
      <c r="A667" s="7" t="s">
        <v>1200</v>
      </c>
      <c r="B667" s="7" t="s">
        <v>334</v>
      </c>
      <c r="C667" s="7" t="s">
        <v>335</v>
      </c>
      <c r="D667" s="7" t="s">
        <v>242</v>
      </c>
      <c r="E667" s="7" t="s">
        <v>162</v>
      </c>
      <c r="F667" s="7" t="s">
        <v>183</v>
      </c>
      <c r="G667" s="7" t="s">
        <v>96</v>
      </c>
      <c r="H667" s="7" t="s">
        <v>231</v>
      </c>
      <c r="I667" s="7" t="s">
        <v>232</v>
      </c>
      <c r="J667" s="8" t="n">
        <v>46046</v>
      </c>
      <c r="K667" s="8" t="n">
        <v>46147</v>
      </c>
      <c r="L667" s="9" t="n">
        <f aca="false">K667-J667</f>
        <v>101</v>
      </c>
      <c r="M667" s="10" t="n">
        <v>245719.29</v>
      </c>
      <c r="N667" s="7" t="s">
        <v>99</v>
      </c>
      <c r="O667" s="7" t="s">
        <v>124</v>
      </c>
      <c r="P667" s="7"/>
      <c r="Q667" s="7"/>
      <c r="R667" s="7"/>
    </row>
    <row r="668" customFormat="false" ht="15" hidden="false" customHeight="false" outlineLevel="0" collapsed="false">
      <c r="A668" s="7" t="s">
        <v>1201</v>
      </c>
      <c r="B668" s="7" t="s">
        <v>208</v>
      </c>
      <c r="C668" s="7" t="s">
        <v>209</v>
      </c>
      <c r="D668" s="7" t="s">
        <v>114</v>
      </c>
      <c r="E668" s="7" t="s">
        <v>162</v>
      </c>
      <c r="F668" s="7" t="s">
        <v>106</v>
      </c>
      <c r="G668" s="7" t="s">
        <v>96</v>
      </c>
      <c r="H668" s="7" t="s">
        <v>190</v>
      </c>
      <c r="I668" s="7" t="s">
        <v>191</v>
      </c>
      <c r="J668" s="8" t="n">
        <v>46094</v>
      </c>
      <c r="K668" s="8" t="n">
        <v>46147</v>
      </c>
      <c r="L668" s="9" t="n">
        <f aca="false">K668-J668</f>
        <v>53</v>
      </c>
      <c r="M668" s="10" t="n">
        <v>80540.99</v>
      </c>
      <c r="N668" s="7" t="s">
        <v>99</v>
      </c>
      <c r="O668" s="7" t="s">
        <v>118</v>
      </c>
      <c r="P668" s="7"/>
      <c r="Q668" s="7"/>
      <c r="R668" s="7"/>
    </row>
    <row r="669" customFormat="false" ht="15" hidden="false" customHeight="false" outlineLevel="0" collapsed="false">
      <c r="A669" s="7" t="s">
        <v>1202</v>
      </c>
      <c r="B669" s="7" t="s">
        <v>669</v>
      </c>
      <c r="C669" s="7" t="s">
        <v>670</v>
      </c>
      <c r="D669" s="7" t="s">
        <v>114</v>
      </c>
      <c r="E669" s="7" t="s">
        <v>105</v>
      </c>
      <c r="F669" s="7" t="s">
        <v>128</v>
      </c>
      <c r="G669" s="7" t="s">
        <v>117</v>
      </c>
      <c r="H669" s="7" t="s">
        <v>213</v>
      </c>
      <c r="I669" s="7" t="s">
        <v>214</v>
      </c>
      <c r="J669" s="8" t="n">
        <v>46064</v>
      </c>
      <c r="K669" s="8" t="n">
        <v>46148</v>
      </c>
      <c r="L669" s="9" t="n">
        <f aca="false">K669-J669</f>
        <v>84</v>
      </c>
      <c r="M669" s="10" t="n">
        <v>55163.35</v>
      </c>
      <c r="N669" s="7" t="s">
        <v>99</v>
      </c>
      <c r="O669" s="7" t="s">
        <v>110</v>
      </c>
      <c r="P669" s="7"/>
      <c r="Q669" s="7"/>
      <c r="R669" s="7"/>
    </row>
    <row r="670" customFormat="false" ht="15" hidden="false" customHeight="false" outlineLevel="0" collapsed="false">
      <c r="A670" s="7" t="s">
        <v>1203</v>
      </c>
      <c r="B670" s="7" t="s">
        <v>334</v>
      </c>
      <c r="C670" s="7" t="s">
        <v>335</v>
      </c>
      <c r="D670" s="7" t="s">
        <v>242</v>
      </c>
      <c r="E670" s="7" t="s">
        <v>162</v>
      </c>
      <c r="F670" s="7" t="s">
        <v>143</v>
      </c>
      <c r="G670" s="7" t="s">
        <v>96</v>
      </c>
      <c r="H670" s="7" t="s">
        <v>122</v>
      </c>
      <c r="I670" s="7" t="s">
        <v>123</v>
      </c>
      <c r="J670" s="8" t="n">
        <v>46032</v>
      </c>
      <c r="K670" s="8" t="n">
        <v>46148</v>
      </c>
      <c r="L670" s="9" t="n">
        <f aca="false">K670-J670</f>
        <v>116</v>
      </c>
      <c r="M670" s="10" t="n">
        <v>120324.59</v>
      </c>
      <c r="N670" s="7" t="s">
        <v>99</v>
      </c>
      <c r="O670" s="7" t="s">
        <v>147</v>
      </c>
      <c r="P670" s="7"/>
      <c r="Q670" s="7"/>
      <c r="R670" s="7"/>
    </row>
    <row r="671" customFormat="false" ht="15" hidden="false" customHeight="false" outlineLevel="0" collapsed="false">
      <c r="A671" s="7" t="s">
        <v>1204</v>
      </c>
      <c r="B671" s="7" t="s">
        <v>821</v>
      </c>
      <c r="C671" s="7" t="s">
        <v>822</v>
      </c>
      <c r="D671" s="7" t="s">
        <v>201</v>
      </c>
      <c r="E671" s="7" t="s">
        <v>105</v>
      </c>
      <c r="F671" s="7" t="s">
        <v>116</v>
      </c>
      <c r="G671" s="7" t="s">
        <v>107</v>
      </c>
      <c r="H671" s="7" t="s">
        <v>152</v>
      </c>
      <c r="I671" s="7" t="s">
        <v>153</v>
      </c>
      <c r="J671" s="8" t="n">
        <v>46061</v>
      </c>
      <c r="K671" s="8" t="n">
        <v>46148</v>
      </c>
      <c r="L671" s="9" t="n">
        <f aca="false">K671-J671</f>
        <v>87</v>
      </c>
      <c r="M671" s="10" t="n">
        <v>236925.38</v>
      </c>
      <c r="N671" s="7" t="s">
        <v>99</v>
      </c>
      <c r="O671" s="7" t="s">
        <v>147</v>
      </c>
      <c r="P671" s="7"/>
      <c r="Q671" s="7"/>
      <c r="R671" s="7"/>
    </row>
    <row r="672" customFormat="false" ht="15" hidden="false" customHeight="false" outlineLevel="0" collapsed="false">
      <c r="A672" s="7" t="s">
        <v>1205</v>
      </c>
      <c r="B672" s="7" t="s">
        <v>237</v>
      </c>
      <c r="C672" s="7" t="s">
        <v>238</v>
      </c>
      <c r="D672" s="7" t="s">
        <v>195</v>
      </c>
      <c r="E672" s="7" t="s">
        <v>94</v>
      </c>
      <c r="F672" s="7" t="s">
        <v>183</v>
      </c>
      <c r="G672" s="7" t="s">
        <v>96</v>
      </c>
      <c r="H672" s="7" t="s">
        <v>108</v>
      </c>
      <c r="I672" s="7" t="s">
        <v>109</v>
      </c>
      <c r="J672" s="8" t="n">
        <v>46093</v>
      </c>
      <c r="K672" s="8" t="n">
        <v>46149</v>
      </c>
      <c r="L672" s="9" t="n">
        <f aca="false">K672-J672</f>
        <v>56</v>
      </c>
      <c r="M672" s="10" t="n">
        <v>122082.99</v>
      </c>
      <c r="N672" s="7" t="s">
        <v>99</v>
      </c>
      <c r="O672" s="7" t="s">
        <v>100</v>
      </c>
      <c r="P672" s="7"/>
      <c r="Q672" s="7"/>
      <c r="R672" s="7"/>
    </row>
    <row r="673" customFormat="false" ht="15" hidden="false" customHeight="false" outlineLevel="0" collapsed="false">
      <c r="A673" s="7" t="s">
        <v>1206</v>
      </c>
      <c r="B673" s="7" t="s">
        <v>324</v>
      </c>
      <c r="C673" s="7" t="s">
        <v>325</v>
      </c>
      <c r="D673" s="7" t="s">
        <v>195</v>
      </c>
      <c r="E673" s="7" t="s">
        <v>94</v>
      </c>
      <c r="F673" s="7" t="s">
        <v>128</v>
      </c>
      <c r="G673" s="7" t="s">
        <v>144</v>
      </c>
      <c r="H673" s="7" t="s">
        <v>177</v>
      </c>
      <c r="I673" s="7" t="s">
        <v>178</v>
      </c>
      <c r="J673" s="8" t="n">
        <v>46068</v>
      </c>
      <c r="K673" s="8" t="n">
        <v>46149</v>
      </c>
      <c r="L673" s="9" t="n">
        <f aca="false">K673-J673</f>
        <v>81</v>
      </c>
      <c r="M673" s="10" t="n">
        <v>76972.93</v>
      </c>
      <c r="N673" s="7" t="s">
        <v>99</v>
      </c>
      <c r="O673" s="7" t="s">
        <v>110</v>
      </c>
      <c r="P673" s="7"/>
      <c r="Q673" s="7"/>
      <c r="R673" s="7"/>
    </row>
    <row r="674" customFormat="false" ht="15" hidden="false" customHeight="false" outlineLevel="0" collapsed="false">
      <c r="A674" s="7" t="s">
        <v>1207</v>
      </c>
      <c r="B674" s="7" t="s">
        <v>882</v>
      </c>
      <c r="C674" s="7" t="s">
        <v>883</v>
      </c>
      <c r="D674" s="7" t="s">
        <v>151</v>
      </c>
      <c r="E674" s="7" t="s">
        <v>105</v>
      </c>
      <c r="F674" s="7" t="s">
        <v>183</v>
      </c>
      <c r="G674" s="7" t="s">
        <v>144</v>
      </c>
      <c r="H674" s="7" t="s">
        <v>281</v>
      </c>
      <c r="I674" s="7" t="s">
        <v>282</v>
      </c>
      <c r="J674" s="8" t="n">
        <v>46104</v>
      </c>
      <c r="K674" s="8" t="n">
        <v>46152</v>
      </c>
      <c r="L674" s="9" t="n">
        <f aca="false">K674-J674</f>
        <v>48</v>
      </c>
      <c r="M674" s="10" t="n">
        <v>59124.24</v>
      </c>
      <c r="N674" s="7" t="s">
        <v>99</v>
      </c>
      <c r="O674" s="7" t="s">
        <v>100</v>
      </c>
      <c r="P674" s="7"/>
      <c r="Q674" s="7"/>
      <c r="R674" s="7"/>
    </row>
    <row r="675" customFormat="false" ht="15" hidden="false" customHeight="false" outlineLevel="0" collapsed="false">
      <c r="A675" s="7" t="s">
        <v>1208</v>
      </c>
      <c r="B675" s="7" t="s">
        <v>724</v>
      </c>
      <c r="C675" s="7" t="s">
        <v>725</v>
      </c>
      <c r="D675" s="7" t="s">
        <v>195</v>
      </c>
      <c r="E675" s="7" t="s">
        <v>115</v>
      </c>
      <c r="F675" s="7" t="s">
        <v>136</v>
      </c>
      <c r="G675" s="7" t="s">
        <v>176</v>
      </c>
      <c r="H675" s="7" t="s">
        <v>171</v>
      </c>
      <c r="I675" s="7" t="s">
        <v>172</v>
      </c>
      <c r="J675" s="8" t="n">
        <v>46059</v>
      </c>
      <c r="K675" s="8" t="n">
        <v>46153</v>
      </c>
      <c r="L675" s="9" t="n">
        <f aca="false">K675-J675</f>
        <v>94</v>
      </c>
      <c r="M675" s="10" t="n">
        <v>157037.08</v>
      </c>
      <c r="N675" s="7" t="s">
        <v>99</v>
      </c>
      <c r="O675" s="7" t="s">
        <v>124</v>
      </c>
      <c r="P675" s="7"/>
      <c r="Q675" s="7"/>
      <c r="R675" s="7"/>
    </row>
    <row r="676" customFormat="false" ht="15" hidden="false" customHeight="false" outlineLevel="0" collapsed="false">
      <c r="A676" s="7" t="s">
        <v>1209</v>
      </c>
      <c r="B676" s="7" t="s">
        <v>573</v>
      </c>
      <c r="C676" s="7" t="s">
        <v>574</v>
      </c>
      <c r="D676" s="7" t="s">
        <v>201</v>
      </c>
      <c r="E676" s="7" t="s">
        <v>115</v>
      </c>
      <c r="F676" s="7" t="s">
        <v>116</v>
      </c>
      <c r="G676" s="7" t="s">
        <v>137</v>
      </c>
      <c r="H676" s="7" t="s">
        <v>177</v>
      </c>
      <c r="I676" s="7" t="s">
        <v>178</v>
      </c>
      <c r="J676" s="8" t="n">
        <v>46073</v>
      </c>
      <c r="K676" s="8" t="n">
        <v>46153</v>
      </c>
      <c r="L676" s="9" t="n">
        <f aca="false">K676-J676</f>
        <v>80</v>
      </c>
      <c r="M676" s="10" t="n">
        <v>34129.21</v>
      </c>
      <c r="N676" s="7" t="s">
        <v>99</v>
      </c>
      <c r="O676" s="7" t="s">
        <v>124</v>
      </c>
      <c r="P676" s="7"/>
      <c r="Q676" s="7"/>
      <c r="R676" s="7"/>
    </row>
    <row r="677" customFormat="false" ht="15" hidden="false" customHeight="false" outlineLevel="0" collapsed="false">
      <c r="A677" s="7" t="s">
        <v>1210</v>
      </c>
      <c r="B677" s="7" t="s">
        <v>569</v>
      </c>
      <c r="C677" s="7" t="s">
        <v>570</v>
      </c>
      <c r="D677" s="7" t="s">
        <v>242</v>
      </c>
      <c r="E677" s="7" t="s">
        <v>162</v>
      </c>
      <c r="F677" s="7" t="s">
        <v>136</v>
      </c>
      <c r="G677" s="7" t="s">
        <v>176</v>
      </c>
      <c r="H677" s="7" t="s">
        <v>278</v>
      </c>
      <c r="I677" s="7" t="s">
        <v>279</v>
      </c>
      <c r="J677" s="8" t="n">
        <v>46076</v>
      </c>
      <c r="K677" s="8" t="n">
        <v>46154</v>
      </c>
      <c r="L677" s="9" t="n">
        <f aca="false">K677-J677</f>
        <v>78</v>
      </c>
      <c r="M677" s="10" t="n">
        <v>82222.8</v>
      </c>
      <c r="N677" s="7" t="s">
        <v>99</v>
      </c>
      <c r="O677" s="7" t="s">
        <v>219</v>
      </c>
      <c r="P677" s="7"/>
      <c r="Q677" s="7"/>
      <c r="R677" s="7"/>
    </row>
    <row r="678" customFormat="false" ht="15" hidden="false" customHeight="false" outlineLevel="0" collapsed="false">
      <c r="A678" s="7" t="s">
        <v>1211</v>
      </c>
      <c r="B678" s="7" t="s">
        <v>424</v>
      </c>
      <c r="C678" s="7" t="s">
        <v>425</v>
      </c>
      <c r="D678" s="7" t="s">
        <v>114</v>
      </c>
      <c r="E678" s="7" t="s">
        <v>115</v>
      </c>
      <c r="F678" s="7" t="s">
        <v>106</v>
      </c>
      <c r="G678" s="7" t="s">
        <v>144</v>
      </c>
      <c r="H678" s="7" t="s">
        <v>166</v>
      </c>
      <c r="I678" s="7" t="s">
        <v>167</v>
      </c>
      <c r="J678" s="8" t="n">
        <v>46085</v>
      </c>
      <c r="K678" s="8" t="n">
        <v>46155</v>
      </c>
      <c r="L678" s="9" t="n">
        <f aca="false">K678-J678</f>
        <v>70</v>
      </c>
      <c r="M678" s="10" t="n">
        <v>64402</v>
      </c>
      <c r="N678" s="7" t="s">
        <v>99</v>
      </c>
      <c r="O678" s="7" t="s">
        <v>100</v>
      </c>
      <c r="P678" s="7"/>
      <c r="Q678" s="7"/>
      <c r="R678" s="7"/>
    </row>
    <row r="679" customFormat="false" ht="15" hidden="false" customHeight="false" outlineLevel="0" collapsed="false">
      <c r="A679" s="7" t="s">
        <v>1212</v>
      </c>
      <c r="B679" s="7" t="s">
        <v>418</v>
      </c>
      <c r="C679" s="7" t="s">
        <v>419</v>
      </c>
      <c r="D679" s="7" t="s">
        <v>93</v>
      </c>
      <c r="E679" s="7" t="s">
        <v>115</v>
      </c>
      <c r="F679" s="7" t="s">
        <v>157</v>
      </c>
      <c r="G679" s="7" t="s">
        <v>144</v>
      </c>
      <c r="H679" s="7" t="s">
        <v>281</v>
      </c>
      <c r="I679" s="7" t="s">
        <v>282</v>
      </c>
      <c r="J679" s="8" t="n">
        <v>46101</v>
      </c>
      <c r="K679" s="8" t="n">
        <v>46156</v>
      </c>
      <c r="L679" s="9" t="n">
        <f aca="false">K679-J679</f>
        <v>55</v>
      </c>
      <c r="M679" s="10" t="n">
        <v>115764.7</v>
      </c>
      <c r="N679" s="7" t="s">
        <v>99</v>
      </c>
      <c r="O679" s="7" t="s">
        <v>124</v>
      </c>
      <c r="P679" s="7"/>
      <c r="Q679" s="7"/>
      <c r="R679" s="7"/>
    </row>
    <row r="680" customFormat="false" ht="15" hidden="false" customHeight="false" outlineLevel="0" collapsed="false">
      <c r="A680" s="7" t="s">
        <v>1213</v>
      </c>
      <c r="B680" s="7" t="s">
        <v>226</v>
      </c>
      <c r="C680" s="7" t="s">
        <v>227</v>
      </c>
      <c r="D680" s="7" t="s">
        <v>93</v>
      </c>
      <c r="E680" s="7" t="s">
        <v>105</v>
      </c>
      <c r="F680" s="7" t="s">
        <v>95</v>
      </c>
      <c r="G680" s="7" t="s">
        <v>176</v>
      </c>
      <c r="H680" s="7" t="s">
        <v>145</v>
      </c>
      <c r="I680" s="7" t="s">
        <v>146</v>
      </c>
      <c r="J680" s="8" t="n">
        <v>46088</v>
      </c>
      <c r="K680" s="8" t="n">
        <v>46158</v>
      </c>
      <c r="L680" s="9" t="n">
        <f aca="false">K680-J680</f>
        <v>70</v>
      </c>
      <c r="M680" s="10" t="n">
        <v>52445.28</v>
      </c>
      <c r="N680" s="7" t="s">
        <v>131</v>
      </c>
      <c r="O680" s="7"/>
      <c r="P680" s="8" t="n">
        <v>46169</v>
      </c>
      <c r="Q680" s="7" t="n">
        <v>4</v>
      </c>
      <c r="R680" s="8" t="n">
        <f aca="false">EDATE(P680,Q680)</f>
        <v>46292</v>
      </c>
    </row>
    <row r="681" customFormat="false" ht="15" hidden="false" customHeight="false" outlineLevel="0" collapsed="false">
      <c r="A681" s="7" t="s">
        <v>1214</v>
      </c>
      <c r="B681" s="7" t="s">
        <v>525</v>
      </c>
      <c r="C681" s="7" t="s">
        <v>526</v>
      </c>
      <c r="D681" s="7" t="s">
        <v>114</v>
      </c>
      <c r="E681" s="7" t="s">
        <v>105</v>
      </c>
      <c r="F681" s="7" t="s">
        <v>106</v>
      </c>
      <c r="G681" s="7" t="s">
        <v>117</v>
      </c>
      <c r="H681" s="7" t="s">
        <v>402</v>
      </c>
      <c r="I681" s="7" t="s">
        <v>403</v>
      </c>
      <c r="J681" s="8" t="n">
        <v>46089</v>
      </c>
      <c r="K681" s="8" t="n">
        <v>46158</v>
      </c>
      <c r="L681" s="9" t="n">
        <f aca="false">K681-J681</f>
        <v>69</v>
      </c>
      <c r="M681" s="10" t="n">
        <v>106365.33</v>
      </c>
      <c r="N681" s="7" t="s">
        <v>131</v>
      </c>
      <c r="O681" s="7"/>
      <c r="P681" s="8" t="n">
        <v>46172</v>
      </c>
      <c r="Q681" s="7" t="n">
        <v>4</v>
      </c>
      <c r="R681" s="8" t="n">
        <f aca="false">EDATE(P681,Q681)</f>
        <v>46295</v>
      </c>
    </row>
    <row r="682" customFormat="false" ht="15" hidden="false" customHeight="false" outlineLevel="0" collapsed="false">
      <c r="A682" s="7" t="s">
        <v>1215</v>
      </c>
      <c r="B682" s="7" t="s">
        <v>501</v>
      </c>
      <c r="C682" s="7" t="s">
        <v>502</v>
      </c>
      <c r="D682" s="7" t="s">
        <v>135</v>
      </c>
      <c r="E682" s="7" t="s">
        <v>115</v>
      </c>
      <c r="F682" s="7" t="s">
        <v>157</v>
      </c>
      <c r="G682" s="7" t="s">
        <v>96</v>
      </c>
      <c r="H682" s="7" t="s">
        <v>129</v>
      </c>
      <c r="I682" s="7" t="s">
        <v>130</v>
      </c>
      <c r="J682" s="8" t="n">
        <v>46102</v>
      </c>
      <c r="K682" s="8" t="n">
        <v>46158</v>
      </c>
      <c r="L682" s="9" t="n">
        <f aca="false">K682-J682</f>
        <v>56</v>
      </c>
      <c r="M682" s="10" t="n">
        <v>136131.22</v>
      </c>
      <c r="N682" s="7" t="s">
        <v>99</v>
      </c>
      <c r="O682" s="7" t="s">
        <v>100</v>
      </c>
      <c r="P682" s="7"/>
      <c r="Q682" s="7"/>
      <c r="R682" s="7"/>
    </row>
    <row r="683" customFormat="false" ht="15" hidden="false" customHeight="false" outlineLevel="0" collapsed="false">
      <c r="A683" s="7" t="s">
        <v>1216</v>
      </c>
      <c r="B683" s="7" t="s">
        <v>1217</v>
      </c>
      <c r="C683" s="7" t="s">
        <v>1218</v>
      </c>
      <c r="D683" s="7" t="s">
        <v>151</v>
      </c>
      <c r="E683" s="7" t="s">
        <v>162</v>
      </c>
      <c r="F683" s="7" t="s">
        <v>136</v>
      </c>
      <c r="G683" s="7" t="s">
        <v>107</v>
      </c>
      <c r="H683" s="7" t="s">
        <v>402</v>
      </c>
      <c r="I683" s="7" t="s">
        <v>403</v>
      </c>
      <c r="J683" s="8" t="n">
        <v>46070</v>
      </c>
      <c r="K683" s="8" t="n">
        <v>46158</v>
      </c>
      <c r="L683" s="9" t="n">
        <f aca="false">K683-J683</f>
        <v>88</v>
      </c>
      <c r="M683" s="10" t="n">
        <v>273716.31</v>
      </c>
      <c r="N683" s="7" t="s">
        <v>99</v>
      </c>
      <c r="O683" s="7" t="s">
        <v>124</v>
      </c>
      <c r="P683" s="7"/>
      <c r="Q683" s="7"/>
      <c r="R683" s="7"/>
    </row>
    <row r="684" customFormat="false" ht="15" hidden="false" customHeight="false" outlineLevel="0" collapsed="false">
      <c r="A684" s="7" t="s">
        <v>1219</v>
      </c>
      <c r="B684" s="7" t="s">
        <v>91</v>
      </c>
      <c r="C684" s="7" t="s">
        <v>92</v>
      </c>
      <c r="D684" s="7" t="s">
        <v>93</v>
      </c>
      <c r="E684" s="7" t="s">
        <v>94</v>
      </c>
      <c r="F684" s="7" t="s">
        <v>157</v>
      </c>
      <c r="G684" s="7" t="s">
        <v>137</v>
      </c>
      <c r="H684" s="7" t="s">
        <v>205</v>
      </c>
      <c r="I684" s="7" t="s">
        <v>206</v>
      </c>
      <c r="J684" s="8" t="n">
        <v>46090</v>
      </c>
      <c r="K684" s="8" t="n">
        <v>46159</v>
      </c>
      <c r="L684" s="9" t="n">
        <f aca="false">K684-J684</f>
        <v>69</v>
      </c>
      <c r="M684" s="10" t="n">
        <v>42638.05</v>
      </c>
      <c r="N684" s="7" t="s">
        <v>99</v>
      </c>
      <c r="O684" s="7" t="s">
        <v>147</v>
      </c>
      <c r="P684" s="7"/>
      <c r="Q684" s="7"/>
      <c r="R684" s="7"/>
    </row>
    <row r="685" customFormat="false" ht="15" hidden="false" customHeight="false" outlineLevel="0" collapsed="false">
      <c r="A685" s="7" t="s">
        <v>1220</v>
      </c>
      <c r="B685" s="7" t="s">
        <v>780</v>
      </c>
      <c r="C685" s="7" t="s">
        <v>781</v>
      </c>
      <c r="D685" s="7" t="s">
        <v>114</v>
      </c>
      <c r="E685" s="7" t="s">
        <v>105</v>
      </c>
      <c r="F685" s="7" t="s">
        <v>157</v>
      </c>
      <c r="G685" s="7" t="s">
        <v>184</v>
      </c>
      <c r="H685" s="7" t="s">
        <v>138</v>
      </c>
      <c r="I685" s="7" t="s">
        <v>139</v>
      </c>
      <c r="J685" s="8" t="n">
        <v>46081</v>
      </c>
      <c r="K685" s="8" t="n">
        <v>46159</v>
      </c>
      <c r="L685" s="9" t="n">
        <f aca="false">K685-J685</f>
        <v>78</v>
      </c>
      <c r="M685" s="10" t="n">
        <v>130539.59</v>
      </c>
      <c r="N685" s="7" t="s">
        <v>99</v>
      </c>
      <c r="O685" s="7" t="s">
        <v>100</v>
      </c>
      <c r="P685" s="7"/>
      <c r="Q685" s="7"/>
      <c r="R685" s="7"/>
    </row>
    <row r="686" customFormat="false" ht="15" hidden="false" customHeight="false" outlineLevel="0" collapsed="false">
      <c r="A686" s="7" t="s">
        <v>1221</v>
      </c>
      <c r="B686" s="7" t="s">
        <v>395</v>
      </c>
      <c r="C686" s="7" t="s">
        <v>396</v>
      </c>
      <c r="D686" s="7" t="s">
        <v>195</v>
      </c>
      <c r="E686" s="7" t="s">
        <v>162</v>
      </c>
      <c r="F686" s="7" t="s">
        <v>128</v>
      </c>
      <c r="G686" s="7" t="s">
        <v>137</v>
      </c>
      <c r="H686" s="7" t="s">
        <v>213</v>
      </c>
      <c r="I686" s="7" t="s">
        <v>214</v>
      </c>
      <c r="J686" s="8" t="n">
        <v>46135</v>
      </c>
      <c r="K686" s="8" t="n">
        <v>46160</v>
      </c>
      <c r="L686" s="9" t="n">
        <f aca="false">K686-J686</f>
        <v>25</v>
      </c>
      <c r="M686" s="10" t="n">
        <v>17385.99</v>
      </c>
      <c r="N686" s="7" t="s">
        <v>99</v>
      </c>
      <c r="O686" s="7" t="s">
        <v>147</v>
      </c>
      <c r="P686" s="7"/>
      <c r="Q686" s="7"/>
      <c r="R686" s="7"/>
    </row>
    <row r="687" customFormat="false" ht="15" hidden="false" customHeight="false" outlineLevel="0" collapsed="false">
      <c r="A687" s="7" t="s">
        <v>1222</v>
      </c>
      <c r="B687" s="7" t="s">
        <v>418</v>
      </c>
      <c r="C687" s="7" t="s">
        <v>419</v>
      </c>
      <c r="D687" s="7" t="s">
        <v>93</v>
      </c>
      <c r="E687" s="7" t="s">
        <v>115</v>
      </c>
      <c r="F687" s="7" t="s">
        <v>128</v>
      </c>
      <c r="G687" s="7" t="s">
        <v>176</v>
      </c>
      <c r="H687" s="7" t="s">
        <v>278</v>
      </c>
      <c r="I687" s="7" t="s">
        <v>279</v>
      </c>
      <c r="J687" s="8" t="n">
        <v>46103</v>
      </c>
      <c r="K687" s="8" t="n">
        <v>46162</v>
      </c>
      <c r="L687" s="9" t="n">
        <f aca="false">K687-J687</f>
        <v>59</v>
      </c>
      <c r="M687" s="10" t="n">
        <v>165373.03</v>
      </c>
      <c r="N687" s="7" t="s">
        <v>99</v>
      </c>
      <c r="O687" s="7" t="s">
        <v>110</v>
      </c>
      <c r="P687" s="7"/>
      <c r="Q687" s="7"/>
      <c r="R687" s="7"/>
    </row>
    <row r="688" customFormat="false" ht="15" hidden="false" customHeight="false" outlineLevel="0" collapsed="false">
      <c r="A688" s="7" t="s">
        <v>1223</v>
      </c>
      <c r="B688" s="7" t="s">
        <v>327</v>
      </c>
      <c r="C688" s="7" t="s">
        <v>328</v>
      </c>
      <c r="D688" s="7" t="s">
        <v>201</v>
      </c>
      <c r="E688" s="7" t="s">
        <v>94</v>
      </c>
      <c r="F688" s="7" t="s">
        <v>128</v>
      </c>
      <c r="G688" s="7" t="s">
        <v>107</v>
      </c>
      <c r="H688" s="7" t="s">
        <v>205</v>
      </c>
      <c r="I688" s="7" t="s">
        <v>206</v>
      </c>
      <c r="J688" s="8" t="n">
        <v>46087</v>
      </c>
      <c r="K688" s="8" t="n">
        <v>46163</v>
      </c>
      <c r="L688" s="9" t="n">
        <f aca="false">K688-J688</f>
        <v>76</v>
      </c>
      <c r="M688" s="10" t="n">
        <v>79238.74</v>
      </c>
      <c r="N688" s="7" t="s">
        <v>99</v>
      </c>
      <c r="O688" s="7" t="s">
        <v>124</v>
      </c>
      <c r="P688" s="7"/>
      <c r="Q688" s="7"/>
      <c r="R688" s="7"/>
    </row>
    <row r="689" customFormat="false" ht="15" hidden="false" customHeight="false" outlineLevel="0" collapsed="false">
      <c r="A689" s="7" t="s">
        <v>1224</v>
      </c>
      <c r="B689" s="7" t="s">
        <v>603</v>
      </c>
      <c r="C689" s="7" t="s">
        <v>604</v>
      </c>
      <c r="D689" s="7" t="s">
        <v>195</v>
      </c>
      <c r="E689" s="7" t="s">
        <v>105</v>
      </c>
      <c r="F689" s="7" t="s">
        <v>106</v>
      </c>
      <c r="G689" s="7" t="s">
        <v>137</v>
      </c>
      <c r="H689" s="7" t="s">
        <v>97</v>
      </c>
      <c r="I689" s="7" t="s">
        <v>98</v>
      </c>
      <c r="J689" s="8" t="n">
        <v>46099</v>
      </c>
      <c r="K689" s="8" t="n">
        <v>46165</v>
      </c>
      <c r="L689" s="9" t="n">
        <f aca="false">K689-J689</f>
        <v>66</v>
      </c>
      <c r="M689" s="10" t="n">
        <v>84299.12</v>
      </c>
      <c r="N689" s="7" t="s">
        <v>99</v>
      </c>
      <c r="O689" s="7" t="s">
        <v>100</v>
      </c>
      <c r="P689" s="7"/>
      <c r="Q689" s="7"/>
      <c r="R689" s="7"/>
    </row>
    <row r="690" customFormat="false" ht="15" hidden="false" customHeight="false" outlineLevel="0" collapsed="false">
      <c r="A690" s="7" t="s">
        <v>1225</v>
      </c>
      <c r="B690" s="7" t="s">
        <v>133</v>
      </c>
      <c r="C690" s="7" t="s">
        <v>134</v>
      </c>
      <c r="D690" s="7" t="s">
        <v>135</v>
      </c>
      <c r="E690" s="7" t="s">
        <v>94</v>
      </c>
      <c r="F690" s="7" t="s">
        <v>157</v>
      </c>
      <c r="G690" s="7" t="s">
        <v>176</v>
      </c>
      <c r="H690" s="7" t="s">
        <v>205</v>
      </c>
      <c r="I690" s="7" t="s">
        <v>206</v>
      </c>
      <c r="J690" s="8" t="n">
        <v>46101</v>
      </c>
      <c r="K690" s="8" t="n">
        <v>46167</v>
      </c>
      <c r="L690" s="9" t="n">
        <f aca="false">K690-J690</f>
        <v>66</v>
      </c>
      <c r="M690" s="10" t="n">
        <v>57763.83</v>
      </c>
      <c r="N690" s="7" t="s">
        <v>99</v>
      </c>
      <c r="O690" s="7" t="s">
        <v>110</v>
      </c>
      <c r="P690" s="7"/>
      <c r="Q690" s="7"/>
      <c r="R690" s="7"/>
    </row>
    <row r="691" customFormat="false" ht="15" hidden="false" customHeight="false" outlineLevel="0" collapsed="false">
      <c r="A691" s="7" t="s">
        <v>1226</v>
      </c>
      <c r="B691" s="7" t="s">
        <v>164</v>
      </c>
      <c r="C691" s="7" t="s">
        <v>165</v>
      </c>
      <c r="D691" s="7" t="s">
        <v>151</v>
      </c>
      <c r="E691" s="7" t="s">
        <v>94</v>
      </c>
      <c r="F691" s="7" t="s">
        <v>128</v>
      </c>
      <c r="G691" s="7" t="s">
        <v>117</v>
      </c>
      <c r="H691" s="7" t="s">
        <v>223</v>
      </c>
      <c r="I691" s="7" t="s">
        <v>224</v>
      </c>
      <c r="J691" s="8" t="n">
        <v>46095</v>
      </c>
      <c r="K691" s="8" t="n">
        <v>46168</v>
      </c>
      <c r="L691" s="9" t="n">
        <f aca="false">K691-J691</f>
        <v>73</v>
      </c>
      <c r="M691" s="10" t="n">
        <v>159334.5</v>
      </c>
      <c r="N691" s="7" t="s">
        <v>131</v>
      </c>
      <c r="O691" s="7"/>
      <c r="P691" s="8" t="n">
        <v>46187</v>
      </c>
      <c r="Q691" s="7" t="n">
        <v>2</v>
      </c>
      <c r="R691" s="8" t="n">
        <f aca="false">EDATE(P691,Q691)</f>
        <v>46248</v>
      </c>
    </row>
    <row r="692" customFormat="false" ht="15" hidden="false" customHeight="false" outlineLevel="0" collapsed="false">
      <c r="A692" s="7" t="s">
        <v>1227</v>
      </c>
      <c r="B692" s="7" t="s">
        <v>250</v>
      </c>
      <c r="C692" s="7" t="s">
        <v>251</v>
      </c>
      <c r="D692" s="7" t="s">
        <v>195</v>
      </c>
      <c r="E692" s="7" t="s">
        <v>105</v>
      </c>
      <c r="F692" s="7" t="s">
        <v>95</v>
      </c>
      <c r="G692" s="7" t="s">
        <v>117</v>
      </c>
      <c r="H692" s="7" t="s">
        <v>278</v>
      </c>
      <c r="I692" s="7" t="s">
        <v>279</v>
      </c>
      <c r="J692" s="8" t="n">
        <v>46119</v>
      </c>
      <c r="K692" s="8" t="n">
        <v>46173</v>
      </c>
      <c r="L692" s="9" t="n">
        <f aca="false">K692-J692</f>
        <v>54</v>
      </c>
      <c r="M692" s="10" t="n">
        <v>132254.84</v>
      </c>
      <c r="N692" s="7" t="s">
        <v>131</v>
      </c>
      <c r="O692" s="7"/>
      <c r="P692" s="8" t="n">
        <v>46181</v>
      </c>
      <c r="Q692" s="7" t="n">
        <v>3</v>
      </c>
      <c r="R692" s="8" t="n">
        <f aca="false">EDATE(P692,Q692)</f>
        <v>46273</v>
      </c>
    </row>
    <row r="693" customFormat="false" ht="15" hidden="false" customHeight="false" outlineLevel="0" collapsed="false">
      <c r="A693" s="7" t="s">
        <v>1228</v>
      </c>
      <c r="B693" s="7" t="s">
        <v>284</v>
      </c>
      <c r="C693" s="7" t="s">
        <v>285</v>
      </c>
      <c r="D693" s="7" t="s">
        <v>201</v>
      </c>
      <c r="E693" s="7" t="s">
        <v>105</v>
      </c>
      <c r="F693" s="7" t="s">
        <v>95</v>
      </c>
      <c r="G693" s="7" t="s">
        <v>176</v>
      </c>
      <c r="H693" s="7" t="s">
        <v>129</v>
      </c>
      <c r="I693" s="7" t="s">
        <v>130</v>
      </c>
      <c r="J693" s="8" t="n">
        <v>46102</v>
      </c>
      <c r="K693" s="8" t="n">
        <v>46174</v>
      </c>
      <c r="L693" s="9" t="n">
        <f aca="false">K693-J693</f>
        <v>72</v>
      </c>
      <c r="M693" s="10" t="n">
        <v>98261.54</v>
      </c>
      <c r="N693" s="7" t="s">
        <v>99</v>
      </c>
      <c r="O693" s="7" t="s">
        <v>118</v>
      </c>
      <c r="P693" s="7"/>
      <c r="Q693" s="7"/>
      <c r="R693" s="7"/>
    </row>
    <row r="694" customFormat="false" ht="15" hidden="false" customHeight="false" outlineLevel="0" collapsed="false">
      <c r="A694" s="7" t="s">
        <v>1229</v>
      </c>
      <c r="B694" s="7" t="s">
        <v>273</v>
      </c>
      <c r="C694" s="7" t="s">
        <v>274</v>
      </c>
      <c r="D694" s="7" t="s">
        <v>195</v>
      </c>
      <c r="E694" s="7" t="s">
        <v>94</v>
      </c>
      <c r="F694" s="7" t="s">
        <v>106</v>
      </c>
      <c r="G694" s="7" t="s">
        <v>96</v>
      </c>
      <c r="H694" s="7" t="s">
        <v>185</v>
      </c>
      <c r="I694" s="7" t="s">
        <v>186</v>
      </c>
      <c r="J694" s="8" t="n">
        <v>46117</v>
      </c>
      <c r="K694" s="8" t="n">
        <v>46174</v>
      </c>
      <c r="L694" s="9" t="n">
        <f aca="false">K694-J694</f>
        <v>57</v>
      </c>
      <c r="M694" s="10" t="n">
        <v>74943.65</v>
      </c>
      <c r="N694" s="7" t="s">
        <v>99</v>
      </c>
      <c r="O694" s="7" t="s">
        <v>110</v>
      </c>
      <c r="P694" s="7"/>
      <c r="Q694" s="7"/>
      <c r="R694" s="7"/>
    </row>
    <row r="695" customFormat="false" ht="15" hidden="false" customHeight="false" outlineLevel="0" collapsed="false">
      <c r="A695" s="7" t="s">
        <v>1230</v>
      </c>
      <c r="B695" s="7" t="s">
        <v>546</v>
      </c>
      <c r="C695" s="7" t="s">
        <v>547</v>
      </c>
      <c r="D695" s="7" t="s">
        <v>201</v>
      </c>
      <c r="E695" s="7" t="s">
        <v>105</v>
      </c>
      <c r="F695" s="7" t="s">
        <v>128</v>
      </c>
      <c r="G695" s="7" t="s">
        <v>96</v>
      </c>
      <c r="H695" s="7" t="s">
        <v>223</v>
      </c>
      <c r="I695" s="7" t="s">
        <v>224</v>
      </c>
      <c r="J695" s="8" t="n">
        <v>46068</v>
      </c>
      <c r="K695" s="8" t="n">
        <v>46175</v>
      </c>
      <c r="L695" s="9" t="n">
        <f aca="false">K695-J695</f>
        <v>107</v>
      </c>
      <c r="M695" s="10" t="n">
        <v>110260.63</v>
      </c>
      <c r="N695" s="7" t="s">
        <v>99</v>
      </c>
      <c r="O695" s="7" t="s">
        <v>147</v>
      </c>
      <c r="P695" s="7"/>
      <c r="Q695" s="7"/>
      <c r="R695" s="7"/>
    </row>
    <row r="696" customFormat="false" ht="15" hidden="false" customHeight="false" outlineLevel="0" collapsed="false">
      <c r="A696" s="7" t="s">
        <v>1231</v>
      </c>
      <c r="B696" s="7" t="s">
        <v>133</v>
      </c>
      <c r="C696" s="7" t="s">
        <v>134</v>
      </c>
      <c r="D696" s="7" t="s">
        <v>135</v>
      </c>
      <c r="E696" s="7" t="s">
        <v>94</v>
      </c>
      <c r="F696" s="7" t="s">
        <v>95</v>
      </c>
      <c r="G696" s="7" t="s">
        <v>184</v>
      </c>
      <c r="H696" s="7" t="s">
        <v>177</v>
      </c>
      <c r="I696" s="7" t="s">
        <v>178</v>
      </c>
      <c r="J696" s="8" t="n">
        <v>46075</v>
      </c>
      <c r="K696" s="8" t="n">
        <v>46175</v>
      </c>
      <c r="L696" s="9" t="n">
        <f aca="false">K696-J696</f>
        <v>100</v>
      </c>
      <c r="M696" s="10" t="n">
        <v>174192.89</v>
      </c>
      <c r="N696" s="7" t="s">
        <v>99</v>
      </c>
      <c r="O696" s="7" t="s">
        <v>147</v>
      </c>
      <c r="P696" s="7"/>
      <c r="Q696" s="7"/>
      <c r="R696" s="7"/>
    </row>
    <row r="697" customFormat="false" ht="15" hidden="false" customHeight="false" outlineLevel="0" collapsed="false">
      <c r="A697" s="7" t="s">
        <v>1232</v>
      </c>
      <c r="B697" s="7" t="s">
        <v>330</v>
      </c>
      <c r="C697" s="7" t="s">
        <v>331</v>
      </c>
      <c r="D697" s="7" t="s">
        <v>242</v>
      </c>
      <c r="E697" s="7" t="s">
        <v>162</v>
      </c>
      <c r="F697" s="7" t="s">
        <v>116</v>
      </c>
      <c r="G697" s="7" t="s">
        <v>117</v>
      </c>
      <c r="H697" s="7" t="s">
        <v>97</v>
      </c>
      <c r="I697" s="7" t="s">
        <v>98</v>
      </c>
      <c r="J697" s="8" t="n">
        <v>46142</v>
      </c>
      <c r="K697" s="8" t="n">
        <v>46176</v>
      </c>
      <c r="L697" s="9" t="n">
        <f aca="false">K697-J697</f>
        <v>34</v>
      </c>
      <c r="M697" s="10" t="n">
        <v>58187.53</v>
      </c>
      <c r="N697" s="7" t="s">
        <v>99</v>
      </c>
      <c r="O697" s="7" t="s">
        <v>219</v>
      </c>
      <c r="P697" s="7"/>
      <c r="Q697" s="7"/>
      <c r="R697" s="7"/>
    </row>
    <row r="698" customFormat="false" ht="15" hidden="false" customHeight="false" outlineLevel="0" collapsed="false">
      <c r="A698" s="7" t="s">
        <v>1233</v>
      </c>
      <c r="B698" s="7" t="s">
        <v>160</v>
      </c>
      <c r="C698" s="7" t="s">
        <v>161</v>
      </c>
      <c r="D698" s="7" t="s">
        <v>151</v>
      </c>
      <c r="E698" s="7" t="s">
        <v>162</v>
      </c>
      <c r="F698" s="7" t="s">
        <v>143</v>
      </c>
      <c r="G698" s="7" t="s">
        <v>117</v>
      </c>
      <c r="H698" s="7" t="s">
        <v>231</v>
      </c>
      <c r="I698" s="7" t="s">
        <v>232</v>
      </c>
      <c r="J698" s="8" t="n">
        <v>46077</v>
      </c>
      <c r="K698" s="8" t="n">
        <v>46177</v>
      </c>
      <c r="L698" s="9" t="n">
        <f aca="false">K698-J698</f>
        <v>100</v>
      </c>
      <c r="M698" s="10" t="n">
        <v>215773.32</v>
      </c>
      <c r="N698" s="7" t="s">
        <v>99</v>
      </c>
      <c r="O698" s="7" t="s">
        <v>118</v>
      </c>
      <c r="P698" s="7"/>
      <c r="Q698" s="7"/>
      <c r="R698" s="7"/>
    </row>
    <row r="699" customFormat="false" ht="15" hidden="false" customHeight="false" outlineLevel="0" collapsed="false">
      <c r="A699" s="7" t="s">
        <v>1234</v>
      </c>
      <c r="B699" s="7" t="s">
        <v>327</v>
      </c>
      <c r="C699" s="7" t="s">
        <v>328</v>
      </c>
      <c r="D699" s="7" t="s">
        <v>201</v>
      </c>
      <c r="E699" s="7" t="s">
        <v>94</v>
      </c>
      <c r="F699" s="7" t="s">
        <v>157</v>
      </c>
      <c r="G699" s="7" t="s">
        <v>137</v>
      </c>
      <c r="H699" s="7" t="s">
        <v>97</v>
      </c>
      <c r="I699" s="7" t="s">
        <v>98</v>
      </c>
      <c r="J699" s="8" t="n">
        <v>46114</v>
      </c>
      <c r="K699" s="8" t="n">
        <v>46178</v>
      </c>
      <c r="L699" s="9" t="n">
        <f aca="false">K699-J699</f>
        <v>64</v>
      </c>
      <c r="M699" s="10" t="n">
        <v>60061.88</v>
      </c>
      <c r="N699" s="7" t="s">
        <v>99</v>
      </c>
      <c r="O699" s="7" t="s">
        <v>118</v>
      </c>
      <c r="P699" s="7"/>
      <c r="Q699" s="7"/>
      <c r="R699" s="7"/>
    </row>
    <row r="700" customFormat="false" ht="15" hidden="false" customHeight="false" outlineLevel="0" collapsed="false">
      <c r="A700" s="7" t="s">
        <v>1235</v>
      </c>
      <c r="B700" s="7" t="s">
        <v>120</v>
      </c>
      <c r="C700" s="7" t="s">
        <v>121</v>
      </c>
      <c r="D700" s="7" t="s">
        <v>104</v>
      </c>
      <c r="E700" s="7" t="s">
        <v>105</v>
      </c>
      <c r="F700" s="7" t="s">
        <v>143</v>
      </c>
      <c r="G700" s="7" t="s">
        <v>176</v>
      </c>
      <c r="H700" s="7" t="s">
        <v>108</v>
      </c>
      <c r="I700" s="7" t="s">
        <v>109</v>
      </c>
      <c r="J700" s="8" t="n">
        <v>46081</v>
      </c>
      <c r="K700" s="8" t="n">
        <v>46179</v>
      </c>
      <c r="L700" s="9" t="n">
        <f aca="false">K700-J700</f>
        <v>98</v>
      </c>
      <c r="M700" s="10" t="n">
        <v>210823.15</v>
      </c>
      <c r="N700" s="7" t="s">
        <v>131</v>
      </c>
      <c r="O700" s="7"/>
      <c r="P700" s="8" t="n">
        <v>46188</v>
      </c>
      <c r="Q700" s="7" t="n">
        <v>7</v>
      </c>
      <c r="R700" s="8" t="n">
        <f aca="false">EDATE(P700,Q700)</f>
        <v>46402</v>
      </c>
    </row>
    <row r="701" customFormat="false" ht="15" hidden="false" customHeight="false" outlineLevel="0" collapsed="false">
      <c r="A701" s="7" t="s">
        <v>1236</v>
      </c>
      <c r="B701" s="7" t="s">
        <v>395</v>
      </c>
      <c r="C701" s="7" t="s">
        <v>396</v>
      </c>
      <c r="D701" s="7" t="s">
        <v>195</v>
      </c>
      <c r="E701" s="7" t="s">
        <v>162</v>
      </c>
      <c r="F701" s="7" t="s">
        <v>128</v>
      </c>
      <c r="G701" s="7" t="s">
        <v>107</v>
      </c>
      <c r="H701" s="7" t="s">
        <v>231</v>
      </c>
      <c r="I701" s="7" t="s">
        <v>232</v>
      </c>
      <c r="J701" s="8" t="n">
        <v>46043</v>
      </c>
      <c r="K701" s="8" t="n">
        <v>46179</v>
      </c>
      <c r="L701" s="9" t="n">
        <f aca="false">K701-J701</f>
        <v>136</v>
      </c>
      <c r="M701" s="10" t="n">
        <v>241568.49</v>
      </c>
      <c r="N701" s="7" t="s">
        <v>131</v>
      </c>
      <c r="O701" s="7"/>
      <c r="P701" s="8" t="n">
        <v>46192</v>
      </c>
      <c r="Q701" s="7" t="n">
        <v>1</v>
      </c>
      <c r="R701" s="8" t="n">
        <f aca="false">EDATE(P701,Q701)</f>
        <v>46222</v>
      </c>
    </row>
    <row r="702" customFormat="false" ht="15" hidden="false" customHeight="false" outlineLevel="0" collapsed="false">
      <c r="A702" s="7" t="s">
        <v>1237</v>
      </c>
      <c r="B702" s="7" t="s">
        <v>1074</v>
      </c>
      <c r="C702" s="7" t="s">
        <v>1075</v>
      </c>
      <c r="D702" s="7" t="s">
        <v>242</v>
      </c>
      <c r="E702" s="7" t="s">
        <v>115</v>
      </c>
      <c r="F702" s="7" t="s">
        <v>143</v>
      </c>
      <c r="G702" s="7" t="s">
        <v>144</v>
      </c>
      <c r="H702" s="7" t="s">
        <v>196</v>
      </c>
      <c r="I702" s="7" t="s">
        <v>197</v>
      </c>
      <c r="J702" s="8" t="n">
        <v>46080</v>
      </c>
      <c r="K702" s="8" t="n">
        <v>46180</v>
      </c>
      <c r="L702" s="9" t="n">
        <f aca="false">K702-J702</f>
        <v>100</v>
      </c>
      <c r="M702" s="10" t="n">
        <v>293070.2</v>
      </c>
      <c r="N702" s="7" t="s">
        <v>99</v>
      </c>
      <c r="O702" s="7" t="s">
        <v>110</v>
      </c>
      <c r="P702" s="7"/>
      <c r="Q702" s="7"/>
      <c r="R702" s="7"/>
    </row>
    <row r="703" customFormat="false" ht="15" hidden="false" customHeight="false" outlineLevel="0" collapsed="false">
      <c r="A703" s="7" t="s">
        <v>1238</v>
      </c>
      <c r="B703" s="7" t="s">
        <v>457</v>
      </c>
      <c r="C703" s="7" t="s">
        <v>458</v>
      </c>
      <c r="D703" s="7" t="s">
        <v>242</v>
      </c>
      <c r="E703" s="7" t="s">
        <v>94</v>
      </c>
      <c r="F703" s="7" t="s">
        <v>116</v>
      </c>
      <c r="G703" s="7" t="s">
        <v>107</v>
      </c>
      <c r="H703" s="7" t="s">
        <v>129</v>
      </c>
      <c r="I703" s="7" t="s">
        <v>130</v>
      </c>
      <c r="J703" s="8" t="n">
        <v>46110</v>
      </c>
      <c r="K703" s="8" t="n">
        <v>46181</v>
      </c>
      <c r="L703" s="9" t="n">
        <f aca="false">K703-J703</f>
        <v>71</v>
      </c>
      <c r="M703" s="10" t="n">
        <v>104922.95</v>
      </c>
      <c r="N703" s="7" t="s">
        <v>99</v>
      </c>
      <c r="O703" s="7" t="s">
        <v>219</v>
      </c>
      <c r="P703" s="7"/>
      <c r="Q703" s="7"/>
      <c r="R703" s="7"/>
    </row>
    <row r="704" customFormat="false" ht="15" hidden="false" customHeight="false" outlineLevel="0" collapsed="false">
      <c r="A704" s="7" t="s">
        <v>1239</v>
      </c>
      <c r="B704" s="7" t="s">
        <v>717</v>
      </c>
      <c r="C704" s="7" t="s">
        <v>718</v>
      </c>
      <c r="D704" s="7" t="s">
        <v>114</v>
      </c>
      <c r="E704" s="7" t="s">
        <v>162</v>
      </c>
      <c r="F704" s="7" t="s">
        <v>128</v>
      </c>
      <c r="G704" s="7" t="s">
        <v>184</v>
      </c>
      <c r="H704" s="7" t="s">
        <v>305</v>
      </c>
      <c r="I704" s="7" t="s">
        <v>306</v>
      </c>
      <c r="J704" s="8" t="n">
        <v>46111</v>
      </c>
      <c r="K704" s="8" t="n">
        <v>46182</v>
      </c>
      <c r="L704" s="9" t="n">
        <f aca="false">K704-J704</f>
        <v>71</v>
      </c>
      <c r="M704" s="10" t="n">
        <v>22162.48</v>
      </c>
      <c r="N704" s="7" t="s">
        <v>99</v>
      </c>
      <c r="O704" s="7" t="s">
        <v>110</v>
      </c>
      <c r="P704" s="7"/>
      <c r="Q704" s="7"/>
      <c r="R704" s="7"/>
    </row>
    <row r="705" customFormat="false" ht="15" hidden="false" customHeight="false" outlineLevel="0" collapsed="false">
      <c r="A705" s="7" t="s">
        <v>1240</v>
      </c>
      <c r="B705" s="7" t="s">
        <v>1241</v>
      </c>
      <c r="C705" s="7" t="s">
        <v>1242</v>
      </c>
      <c r="D705" s="7" t="s">
        <v>195</v>
      </c>
      <c r="E705" s="7" t="s">
        <v>162</v>
      </c>
      <c r="F705" s="7" t="s">
        <v>128</v>
      </c>
      <c r="G705" s="7" t="s">
        <v>144</v>
      </c>
      <c r="H705" s="7" t="s">
        <v>166</v>
      </c>
      <c r="I705" s="7" t="s">
        <v>167</v>
      </c>
      <c r="J705" s="8" t="n">
        <v>46132</v>
      </c>
      <c r="K705" s="8" t="n">
        <v>46182</v>
      </c>
      <c r="L705" s="9" t="n">
        <f aca="false">K705-J705</f>
        <v>50</v>
      </c>
      <c r="M705" s="10" t="n">
        <v>35537.66</v>
      </c>
      <c r="N705" s="7" t="s">
        <v>99</v>
      </c>
      <c r="O705" s="7" t="s">
        <v>118</v>
      </c>
      <c r="P705" s="7"/>
      <c r="Q705" s="7"/>
      <c r="R705" s="7"/>
    </row>
    <row r="706" customFormat="false" ht="15" hidden="false" customHeight="false" outlineLevel="0" collapsed="false">
      <c r="A706" s="7" t="s">
        <v>1243</v>
      </c>
      <c r="B706" s="7" t="s">
        <v>160</v>
      </c>
      <c r="C706" s="7" t="s">
        <v>161</v>
      </c>
      <c r="D706" s="7" t="s">
        <v>151</v>
      </c>
      <c r="E706" s="7" t="s">
        <v>162</v>
      </c>
      <c r="F706" s="7" t="s">
        <v>183</v>
      </c>
      <c r="G706" s="7" t="s">
        <v>184</v>
      </c>
      <c r="H706" s="7" t="s">
        <v>270</v>
      </c>
      <c r="I706" s="7" t="s">
        <v>271</v>
      </c>
      <c r="J706" s="8" t="n">
        <v>46076</v>
      </c>
      <c r="K706" s="8" t="n">
        <v>46185</v>
      </c>
      <c r="L706" s="9" t="n">
        <f aca="false">K706-J706</f>
        <v>109</v>
      </c>
      <c r="M706" s="10" t="n">
        <v>110725.61</v>
      </c>
      <c r="N706" s="7" t="s">
        <v>99</v>
      </c>
      <c r="O706" s="7" t="s">
        <v>110</v>
      </c>
      <c r="P706" s="7"/>
      <c r="Q706" s="7"/>
      <c r="R706" s="7"/>
    </row>
    <row r="707" customFormat="false" ht="15" hidden="false" customHeight="false" outlineLevel="0" collapsed="false">
      <c r="A707" s="7" t="s">
        <v>1244</v>
      </c>
      <c r="B707" s="7" t="s">
        <v>395</v>
      </c>
      <c r="C707" s="7" t="s">
        <v>396</v>
      </c>
      <c r="D707" s="7" t="s">
        <v>195</v>
      </c>
      <c r="E707" s="7" t="s">
        <v>162</v>
      </c>
      <c r="F707" s="7" t="s">
        <v>95</v>
      </c>
      <c r="G707" s="7" t="s">
        <v>96</v>
      </c>
      <c r="H707" s="7" t="s">
        <v>129</v>
      </c>
      <c r="I707" s="7" t="s">
        <v>130</v>
      </c>
      <c r="J707" s="8" t="n">
        <v>46131</v>
      </c>
      <c r="K707" s="8" t="n">
        <v>46187</v>
      </c>
      <c r="L707" s="9" t="n">
        <f aca="false">K707-J707</f>
        <v>56</v>
      </c>
      <c r="M707" s="10" t="n">
        <v>55591.68</v>
      </c>
      <c r="N707" s="7" t="s">
        <v>99</v>
      </c>
      <c r="O707" s="7" t="s">
        <v>100</v>
      </c>
      <c r="P707" s="7"/>
      <c r="Q707" s="7"/>
      <c r="R707" s="7"/>
    </row>
    <row r="708" customFormat="false" ht="15" hidden="false" customHeight="false" outlineLevel="0" collapsed="false">
      <c r="A708" s="7" t="s">
        <v>1245</v>
      </c>
      <c r="B708" s="7" t="s">
        <v>457</v>
      </c>
      <c r="C708" s="7" t="s">
        <v>458</v>
      </c>
      <c r="D708" s="7" t="s">
        <v>242</v>
      </c>
      <c r="E708" s="7" t="s">
        <v>94</v>
      </c>
      <c r="F708" s="7" t="s">
        <v>106</v>
      </c>
      <c r="G708" s="7" t="s">
        <v>184</v>
      </c>
      <c r="H708" s="7" t="s">
        <v>205</v>
      </c>
      <c r="I708" s="7" t="s">
        <v>206</v>
      </c>
      <c r="J708" s="8" t="n">
        <v>46115</v>
      </c>
      <c r="K708" s="8" t="n">
        <v>46188</v>
      </c>
      <c r="L708" s="9" t="n">
        <f aca="false">K708-J708</f>
        <v>73</v>
      </c>
      <c r="M708" s="10" t="n">
        <v>91184.28</v>
      </c>
      <c r="N708" s="7" t="s">
        <v>99</v>
      </c>
      <c r="O708" s="7" t="s">
        <v>100</v>
      </c>
      <c r="P708" s="7"/>
      <c r="Q708" s="7"/>
      <c r="R708" s="7"/>
    </row>
    <row r="709" customFormat="false" ht="15" hidden="false" customHeight="false" outlineLevel="0" collapsed="false">
      <c r="A709" s="7" t="s">
        <v>1246</v>
      </c>
      <c r="B709" s="7" t="s">
        <v>276</v>
      </c>
      <c r="C709" s="7" t="s">
        <v>277</v>
      </c>
      <c r="D709" s="7" t="s">
        <v>114</v>
      </c>
      <c r="E709" s="7" t="s">
        <v>162</v>
      </c>
      <c r="F709" s="7" t="s">
        <v>128</v>
      </c>
      <c r="G709" s="7" t="s">
        <v>176</v>
      </c>
      <c r="H709" s="7" t="s">
        <v>231</v>
      </c>
      <c r="I709" s="7" t="s">
        <v>232</v>
      </c>
      <c r="J709" s="8" t="n">
        <v>46109</v>
      </c>
      <c r="K709" s="8" t="n">
        <v>46190</v>
      </c>
      <c r="L709" s="9" t="n">
        <f aca="false">K709-J709</f>
        <v>81</v>
      </c>
      <c r="M709" s="10" t="n">
        <v>70935.49</v>
      </c>
      <c r="N709" s="7" t="s">
        <v>131</v>
      </c>
      <c r="O709" s="7"/>
      <c r="P709" s="8" t="n">
        <v>46209</v>
      </c>
      <c r="Q709" s="7" t="n">
        <v>1</v>
      </c>
      <c r="R709" s="8" t="n">
        <f aca="false">EDATE(P709,Q709)</f>
        <v>46240</v>
      </c>
    </row>
    <row r="710" customFormat="false" ht="15" hidden="false" customHeight="false" outlineLevel="0" collapsed="false">
      <c r="A710" s="7" t="s">
        <v>1247</v>
      </c>
      <c r="B710" s="7" t="s">
        <v>776</v>
      </c>
      <c r="C710" s="7" t="s">
        <v>777</v>
      </c>
      <c r="D710" s="7" t="s">
        <v>242</v>
      </c>
      <c r="E710" s="7" t="s">
        <v>94</v>
      </c>
      <c r="F710" s="7" t="s">
        <v>116</v>
      </c>
      <c r="G710" s="7" t="s">
        <v>117</v>
      </c>
      <c r="H710" s="7" t="s">
        <v>270</v>
      </c>
      <c r="I710" s="7" t="s">
        <v>271</v>
      </c>
      <c r="J710" s="8" t="n">
        <v>46085</v>
      </c>
      <c r="K710" s="8" t="n">
        <v>46192</v>
      </c>
      <c r="L710" s="9" t="n">
        <f aca="false">K710-J710</f>
        <v>107</v>
      </c>
      <c r="M710" s="10" t="n">
        <v>125294.32</v>
      </c>
      <c r="N710" s="7" t="s">
        <v>131</v>
      </c>
      <c r="O710" s="7"/>
      <c r="P710" s="8" t="n">
        <v>46213</v>
      </c>
      <c r="Q710" s="7" t="n">
        <v>3</v>
      </c>
      <c r="R710" s="8" t="n">
        <f aca="false">EDATE(P710,Q710)</f>
        <v>46305</v>
      </c>
    </row>
    <row r="711" customFormat="false" ht="15" hidden="false" customHeight="false" outlineLevel="0" collapsed="false">
      <c r="A711" s="7" t="s">
        <v>1248</v>
      </c>
      <c r="B711" s="7" t="s">
        <v>821</v>
      </c>
      <c r="C711" s="7" t="s">
        <v>822</v>
      </c>
      <c r="D711" s="7" t="s">
        <v>201</v>
      </c>
      <c r="E711" s="7" t="s">
        <v>105</v>
      </c>
      <c r="F711" s="7" t="s">
        <v>157</v>
      </c>
      <c r="G711" s="7" t="s">
        <v>107</v>
      </c>
      <c r="H711" s="7" t="s">
        <v>190</v>
      </c>
      <c r="I711" s="7" t="s">
        <v>191</v>
      </c>
      <c r="J711" s="8" t="n">
        <v>46109</v>
      </c>
      <c r="K711" s="8" t="n">
        <v>46193</v>
      </c>
      <c r="L711" s="9" t="n">
        <f aca="false">K711-J711</f>
        <v>84</v>
      </c>
      <c r="M711" s="10" t="n">
        <v>122043.33</v>
      </c>
      <c r="N711" s="7" t="s">
        <v>99</v>
      </c>
      <c r="O711" s="7" t="s">
        <v>147</v>
      </c>
      <c r="P711" s="7"/>
      <c r="Q711" s="7"/>
      <c r="R711" s="7"/>
    </row>
    <row r="712" customFormat="false" ht="15" hidden="false" customHeight="false" outlineLevel="0" collapsed="false">
      <c r="A712" s="7" t="s">
        <v>1249</v>
      </c>
      <c r="B712" s="7" t="s">
        <v>485</v>
      </c>
      <c r="C712" s="7" t="s">
        <v>486</v>
      </c>
      <c r="D712" s="7" t="s">
        <v>151</v>
      </c>
      <c r="E712" s="7" t="s">
        <v>94</v>
      </c>
      <c r="F712" s="7" t="s">
        <v>157</v>
      </c>
      <c r="G712" s="7" t="s">
        <v>107</v>
      </c>
      <c r="H712" s="7" t="s">
        <v>138</v>
      </c>
      <c r="I712" s="7" t="s">
        <v>139</v>
      </c>
      <c r="J712" s="8" t="n">
        <v>46126</v>
      </c>
      <c r="K712" s="8" t="n">
        <v>46193</v>
      </c>
      <c r="L712" s="9" t="n">
        <f aca="false">K712-J712</f>
        <v>67</v>
      </c>
      <c r="M712" s="10" t="n">
        <v>119576.29</v>
      </c>
      <c r="N712" s="7" t="s">
        <v>99</v>
      </c>
      <c r="O712" s="7" t="s">
        <v>147</v>
      </c>
      <c r="P712" s="7"/>
      <c r="Q712" s="7"/>
      <c r="R712" s="7"/>
    </row>
    <row r="713" customFormat="false" ht="15" hidden="false" customHeight="false" outlineLevel="0" collapsed="false">
      <c r="A713" s="7" t="s">
        <v>1250</v>
      </c>
      <c r="B713" s="7" t="s">
        <v>362</v>
      </c>
      <c r="C713" s="7" t="s">
        <v>363</v>
      </c>
      <c r="D713" s="7" t="s">
        <v>195</v>
      </c>
      <c r="E713" s="7" t="s">
        <v>162</v>
      </c>
      <c r="F713" s="7" t="s">
        <v>95</v>
      </c>
      <c r="G713" s="7" t="s">
        <v>176</v>
      </c>
      <c r="H713" s="7" t="s">
        <v>138</v>
      </c>
      <c r="I713" s="7" t="s">
        <v>139</v>
      </c>
      <c r="J713" s="8" t="n">
        <v>46140</v>
      </c>
      <c r="K713" s="8" t="n">
        <v>46194</v>
      </c>
      <c r="L713" s="9" t="n">
        <f aca="false">K713-J713</f>
        <v>54</v>
      </c>
      <c r="M713" s="10" t="n">
        <v>44661.85</v>
      </c>
      <c r="N713" s="7" t="s">
        <v>99</v>
      </c>
      <c r="O713" s="7" t="s">
        <v>110</v>
      </c>
      <c r="P713" s="7"/>
      <c r="Q713" s="7"/>
      <c r="R713" s="7"/>
    </row>
    <row r="714" customFormat="false" ht="15" hidden="false" customHeight="false" outlineLevel="0" collapsed="false">
      <c r="A714" s="7" t="s">
        <v>1251</v>
      </c>
      <c r="B714" s="7" t="s">
        <v>817</v>
      </c>
      <c r="C714" s="7" t="s">
        <v>818</v>
      </c>
      <c r="D714" s="7" t="s">
        <v>93</v>
      </c>
      <c r="E714" s="7" t="s">
        <v>105</v>
      </c>
      <c r="F714" s="7" t="s">
        <v>183</v>
      </c>
      <c r="G714" s="7" t="s">
        <v>117</v>
      </c>
      <c r="H714" s="7" t="s">
        <v>166</v>
      </c>
      <c r="I714" s="7" t="s">
        <v>167</v>
      </c>
      <c r="J714" s="8" t="n">
        <v>46107</v>
      </c>
      <c r="K714" s="8" t="n">
        <v>46195</v>
      </c>
      <c r="L714" s="9" t="n">
        <f aca="false">K714-J714</f>
        <v>88</v>
      </c>
      <c r="M714" s="10" t="n">
        <v>122892.53</v>
      </c>
      <c r="N714" s="7" t="s">
        <v>99</v>
      </c>
      <c r="O714" s="7" t="s">
        <v>100</v>
      </c>
      <c r="P714" s="7"/>
      <c r="Q714" s="7"/>
      <c r="R714" s="7"/>
    </row>
    <row r="715" customFormat="false" ht="15" hidden="false" customHeight="false" outlineLevel="0" collapsed="false">
      <c r="A715" s="7" t="s">
        <v>1252</v>
      </c>
      <c r="B715" s="7" t="s">
        <v>525</v>
      </c>
      <c r="C715" s="7" t="s">
        <v>526</v>
      </c>
      <c r="D715" s="7" t="s">
        <v>114</v>
      </c>
      <c r="E715" s="7" t="s">
        <v>105</v>
      </c>
      <c r="F715" s="7" t="s">
        <v>143</v>
      </c>
      <c r="G715" s="7" t="s">
        <v>137</v>
      </c>
      <c r="H715" s="7" t="s">
        <v>152</v>
      </c>
      <c r="I715" s="7" t="s">
        <v>153</v>
      </c>
      <c r="J715" s="8" t="n">
        <v>46120</v>
      </c>
      <c r="K715" s="8" t="n">
        <v>46195</v>
      </c>
      <c r="L715" s="9" t="n">
        <f aca="false">K715-J715</f>
        <v>75</v>
      </c>
      <c r="M715" s="10" t="n">
        <v>150007.55</v>
      </c>
      <c r="N715" s="7" t="s">
        <v>99</v>
      </c>
      <c r="O715" s="7" t="s">
        <v>110</v>
      </c>
      <c r="P715" s="7"/>
      <c r="Q715" s="7"/>
      <c r="R715" s="7"/>
    </row>
    <row r="716" customFormat="false" ht="15" hidden="false" customHeight="false" outlineLevel="0" collapsed="false">
      <c r="A716" s="7" t="s">
        <v>1253</v>
      </c>
      <c r="B716" s="7" t="s">
        <v>318</v>
      </c>
      <c r="C716" s="7" t="s">
        <v>319</v>
      </c>
      <c r="D716" s="7" t="s">
        <v>114</v>
      </c>
      <c r="E716" s="7" t="s">
        <v>94</v>
      </c>
      <c r="F716" s="7" t="s">
        <v>95</v>
      </c>
      <c r="G716" s="7" t="s">
        <v>144</v>
      </c>
      <c r="H716" s="7" t="s">
        <v>231</v>
      </c>
      <c r="I716" s="7" t="s">
        <v>232</v>
      </c>
      <c r="J716" s="8" t="n">
        <v>46129</v>
      </c>
      <c r="K716" s="8" t="n">
        <v>46198</v>
      </c>
      <c r="L716" s="9" t="n">
        <f aca="false">K716-J716</f>
        <v>69</v>
      </c>
      <c r="M716" s="10" t="n">
        <v>166434.69</v>
      </c>
      <c r="N716" s="7" t="s">
        <v>99</v>
      </c>
      <c r="O716" s="7" t="s">
        <v>110</v>
      </c>
      <c r="P716" s="7"/>
      <c r="Q716" s="7"/>
      <c r="R716" s="7"/>
    </row>
    <row r="717" customFormat="false" ht="15" hidden="false" customHeight="false" outlineLevel="0" collapsed="false">
      <c r="A717" s="7" t="s">
        <v>1254</v>
      </c>
      <c r="B717" s="7" t="s">
        <v>490</v>
      </c>
      <c r="C717" s="7" t="s">
        <v>491</v>
      </c>
      <c r="D717" s="7" t="s">
        <v>195</v>
      </c>
      <c r="E717" s="7" t="s">
        <v>162</v>
      </c>
      <c r="F717" s="7" t="s">
        <v>116</v>
      </c>
      <c r="G717" s="7" t="s">
        <v>176</v>
      </c>
      <c r="H717" s="7" t="s">
        <v>402</v>
      </c>
      <c r="I717" s="7" t="s">
        <v>403</v>
      </c>
      <c r="J717" s="8" t="n">
        <v>46130</v>
      </c>
      <c r="K717" s="8" t="n">
        <v>46198</v>
      </c>
      <c r="L717" s="9" t="n">
        <f aca="false">K717-J717</f>
        <v>68</v>
      </c>
      <c r="M717" s="10" t="n">
        <v>98223.43</v>
      </c>
      <c r="N717" s="7" t="s">
        <v>131</v>
      </c>
      <c r="O717" s="7"/>
      <c r="P717" s="8" t="n">
        <v>46219</v>
      </c>
      <c r="Q717" s="7" t="n">
        <v>7</v>
      </c>
      <c r="R717" s="8" t="n">
        <f aca="false">EDATE(P717,Q717)</f>
        <v>46434</v>
      </c>
    </row>
    <row r="718" customFormat="false" ht="15" hidden="false" customHeight="false" outlineLevel="0" collapsed="false">
      <c r="A718" s="7" t="s">
        <v>1255</v>
      </c>
      <c r="B718" s="7" t="s">
        <v>253</v>
      </c>
      <c r="C718" s="7" t="s">
        <v>254</v>
      </c>
      <c r="D718" s="7" t="s">
        <v>242</v>
      </c>
      <c r="E718" s="7" t="s">
        <v>105</v>
      </c>
      <c r="F718" s="7" t="s">
        <v>128</v>
      </c>
      <c r="G718" s="7" t="s">
        <v>184</v>
      </c>
      <c r="H718" s="7" t="s">
        <v>108</v>
      </c>
      <c r="I718" s="7" t="s">
        <v>109</v>
      </c>
      <c r="J718" s="8" t="n">
        <v>46143</v>
      </c>
      <c r="K718" s="8" t="n">
        <v>46202</v>
      </c>
      <c r="L718" s="9" t="n">
        <f aca="false">K718-J718</f>
        <v>59</v>
      </c>
      <c r="M718" s="10" t="n">
        <v>74910.28</v>
      </c>
      <c r="N718" s="7" t="s">
        <v>99</v>
      </c>
      <c r="O718" s="7" t="s">
        <v>219</v>
      </c>
      <c r="P718" s="7"/>
      <c r="Q718" s="7"/>
      <c r="R718" s="7"/>
    </row>
    <row r="719" customFormat="false" ht="15" hidden="false" customHeight="false" outlineLevel="0" collapsed="false">
      <c r="A719" s="7" t="s">
        <v>1256</v>
      </c>
      <c r="B719" s="7" t="s">
        <v>287</v>
      </c>
      <c r="C719" s="7" t="s">
        <v>288</v>
      </c>
      <c r="D719" s="7" t="s">
        <v>151</v>
      </c>
      <c r="E719" s="7" t="s">
        <v>94</v>
      </c>
      <c r="F719" s="7" t="s">
        <v>157</v>
      </c>
      <c r="G719" s="7" t="s">
        <v>184</v>
      </c>
      <c r="H719" s="7" t="s">
        <v>171</v>
      </c>
      <c r="I719" s="7" t="s">
        <v>172</v>
      </c>
      <c r="J719" s="8" t="n">
        <v>46136</v>
      </c>
      <c r="K719" s="8" t="n">
        <v>46203</v>
      </c>
      <c r="L719" s="9" t="n">
        <f aca="false">K719-J719</f>
        <v>67</v>
      </c>
      <c r="M719" s="10" t="n">
        <v>77875.9</v>
      </c>
      <c r="N719" s="7" t="s">
        <v>131</v>
      </c>
      <c r="O719" s="7"/>
      <c r="P719" s="8" t="n">
        <v>46219</v>
      </c>
      <c r="Q719" s="7" t="n">
        <v>3</v>
      </c>
      <c r="R719" s="8" t="n">
        <f aca="false">EDATE(P719,Q719)</f>
        <v>46311</v>
      </c>
    </row>
    <row r="720" customFormat="false" ht="15" hidden="false" customHeight="false" outlineLevel="0" collapsed="false">
      <c r="A720" s="7" t="s">
        <v>1257</v>
      </c>
      <c r="B720" s="7" t="s">
        <v>234</v>
      </c>
      <c r="C720" s="7" t="s">
        <v>235</v>
      </c>
      <c r="D720" s="7" t="s">
        <v>114</v>
      </c>
      <c r="E720" s="7" t="s">
        <v>115</v>
      </c>
      <c r="F720" s="7" t="s">
        <v>128</v>
      </c>
      <c r="G720" s="7" t="s">
        <v>137</v>
      </c>
      <c r="H720" s="7" t="s">
        <v>177</v>
      </c>
      <c r="I720" s="7" t="s">
        <v>178</v>
      </c>
      <c r="J720" s="8" t="n">
        <v>46151</v>
      </c>
      <c r="K720" s="8" t="n">
        <v>46204</v>
      </c>
      <c r="L720" s="9" t="n">
        <f aca="false">K720-J720</f>
        <v>53</v>
      </c>
      <c r="M720" s="10" t="n">
        <v>32451.68</v>
      </c>
      <c r="N720" s="7" t="s">
        <v>99</v>
      </c>
      <c r="O720" s="7" t="s">
        <v>118</v>
      </c>
      <c r="P720" s="7"/>
      <c r="Q720" s="7"/>
      <c r="R720" s="7"/>
    </row>
    <row r="721" customFormat="false" ht="15" hidden="false" customHeight="false" outlineLevel="0" collapsed="false">
      <c r="A721" s="7" t="s">
        <v>1258</v>
      </c>
      <c r="B721" s="7" t="s">
        <v>353</v>
      </c>
      <c r="C721" s="7" t="s">
        <v>354</v>
      </c>
      <c r="D721" s="7" t="s">
        <v>151</v>
      </c>
      <c r="E721" s="7" t="s">
        <v>105</v>
      </c>
      <c r="F721" s="7" t="s">
        <v>157</v>
      </c>
      <c r="G721" s="7" t="s">
        <v>137</v>
      </c>
      <c r="H721" s="7" t="s">
        <v>213</v>
      </c>
      <c r="I721" s="7" t="s">
        <v>214</v>
      </c>
      <c r="J721" s="8" t="n">
        <v>46120</v>
      </c>
      <c r="K721" s="8" t="n">
        <v>46205</v>
      </c>
      <c r="L721" s="9" t="n">
        <f aca="false">K721-J721</f>
        <v>85</v>
      </c>
      <c r="M721" s="10" t="n">
        <v>65496.68</v>
      </c>
      <c r="N721" s="7" t="s">
        <v>99</v>
      </c>
      <c r="O721" s="7" t="s">
        <v>219</v>
      </c>
      <c r="P721" s="7"/>
      <c r="Q721" s="7"/>
      <c r="R721" s="7"/>
    </row>
    <row r="722" customFormat="false" ht="15" hidden="false" customHeight="false" outlineLevel="0" collapsed="false">
      <c r="A722" s="7" t="s">
        <v>1259</v>
      </c>
      <c r="B722" s="7" t="s">
        <v>91</v>
      </c>
      <c r="C722" s="7" t="s">
        <v>92</v>
      </c>
      <c r="D722" s="7" t="s">
        <v>93</v>
      </c>
      <c r="E722" s="7" t="s">
        <v>94</v>
      </c>
      <c r="F722" s="7" t="s">
        <v>157</v>
      </c>
      <c r="G722" s="7" t="s">
        <v>96</v>
      </c>
      <c r="H722" s="7" t="s">
        <v>152</v>
      </c>
      <c r="I722" s="7" t="s">
        <v>153</v>
      </c>
      <c r="J722" s="8" t="n">
        <v>46173</v>
      </c>
      <c r="K722" s="8" t="n">
        <v>46205</v>
      </c>
      <c r="L722" s="9" t="n">
        <f aca="false">K722-J722</f>
        <v>32</v>
      </c>
      <c r="M722" s="10" t="n">
        <v>88676.67</v>
      </c>
      <c r="N722" s="7" t="s">
        <v>99</v>
      </c>
      <c r="O722" s="7" t="s">
        <v>147</v>
      </c>
      <c r="P722" s="7"/>
      <c r="Q722" s="7"/>
      <c r="R722" s="7"/>
    </row>
    <row r="723" customFormat="false" ht="15" hidden="false" customHeight="false" outlineLevel="0" collapsed="false">
      <c r="A723" s="7" t="s">
        <v>1260</v>
      </c>
      <c r="B723" s="7" t="s">
        <v>291</v>
      </c>
      <c r="C723" s="7" t="s">
        <v>292</v>
      </c>
      <c r="D723" s="7" t="s">
        <v>201</v>
      </c>
      <c r="E723" s="7" t="s">
        <v>94</v>
      </c>
      <c r="F723" s="7" t="s">
        <v>128</v>
      </c>
      <c r="G723" s="7" t="s">
        <v>117</v>
      </c>
      <c r="H723" s="7" t="s">
        <v>108</v>
      </c>
      <c r="I723" s="7" t="s">
        <v>109</v>
      </c>
      <c r="J723" s="8" t="n">
        <v>46171</v>
      </c>
      <c r="K723" s="8" t="n">
        <v>46207</v>
      </c>
      <c r="L723" s="9" t="n">
        <f aca="false">K723-J723</f>
        <v>36</v>
      </c>
      <c r="M723" s="10" t="n">
        <v>45408.22</v>
      </c>
      <c r="N723" s="7" t="s">
        <v>99</v>
      </c>
      <c r="O723" s="7" t="s">
        <v>219</v>
      </c>
      <c r="P723" s="7"/>
      <c r="Q723" s="7"/>
      <c r="R723" s="7"/>
    </row>
    <row r="724" customFormat="false" ht="15" hidden="false" customHeight="false" outlineLevel="0" collapsed="false">
      <c r="A724" s="7" t="s">
        <v>1261</v>
      </c>
      <c r="B724" s="7" t="s">
        <v>1262</v>
      </c>
      <c r="C724" s="7" t="s">
        <v>1263</v>
      </c>
      <c r="D724" s="7" t="s">
        <v>151</v>
      </c>
      <c r="E724" s="7" t="s">
        <v>94</v>
      </c>
      <c r="F724" s="7" t="s">
        <v>136</v>
      </c>
      <c r="G724" s="7" t="s">
        <v>96</v>
      </c>
      <c r="H724" s="7" t="s">
        <v>122</v>
      </c>
      <c r="I724" s="7" t="s">
        <v>123</v>
      </c>
      <c r="J724" s="8" t="n">
        <v>46172</v>
      </c>
      <c r="K724" s="8" t="n">
        <v>46211</v>
      </c>
      <c r="L724" s="9" t="n">
        <f aca="false">K724-J724</f>
        <v>39</v>
      </c>
      <c r="M724" s="10" t="n">
        <v>103766.77</v>
      </c>
      <c r="N724" s="7" t="s">
        <v>99</v>
      </c>
      <c r="O724" s="7" t="s">
        <v>110</v>
      </c>
      <c r="P724" s="7"/>
      <c r="Q724" s="7"/>
      <c r="R724" s="7"/>
    </row>
    <row r="725" customFormat="false" ht="15" hidden="false" customHeight="false" outlineLevel="0" collapsed="false">
      <c r="A725" s="7" t="s">
        <v>1264</v>
      </c>
      <c r="B725" s="7" t="s">
        <v>372</v>
      </c>
      <c r="C725" s="7" t="s">
        <v>373</v>
      </c>
      <c r="D725" s="7" t="s">
        <v>242</v>
      </c>
      <c r="E725" s="7" t="s">
        <v>105</v>
      </c>
      <c r="F725" s="7" t="s">
        <v>157</v>
      </c>
      <c r="G725" s="7" t="s">
        <v>117</v>
      </c>
      <c r="H725" s="7" t="s">
        <v>305</v>
      </c>
      <c r="I725" s="7" t="s">
        <v>306</v>
      </c>
      <c r="J725" s="8" t="n">
        <v>46154</v>
      </c>
      <c r="K725" s="8" t="n">
        <v>46215</v>
      </c>
      <c r="L725" s="9" t="n">
        <f aca="false">K725-J725</f>
        <v>61</v>
      </c>
      <c r="M725" s="10" t="n">
        <v>73925.37</v>
      </c>
      <c r="N725" s="7" t="s">
        <v>99</v>
      </c>
      <c r="O725" s="7" t="s">
        <v>118</v>
      </c>
      <c r="P725" s="7"/>
      <c r="Q725" s="7"/>
      <c r="R725" s="7"/>
    </row>
    <row r="726" customFormat="false" ht="15" hidden="false" customHeight="false" outlineLevel="0" collapsed="false">
      <c r="A726" s="7" t="s">
        <v>1265</v>
      </c>
      <c r="B726" s="7" t="s">
        <v>291</v>
      </c>
      <c r="C726" s="7" t="s">
        <v>292</v>
      </c>
      <c r="D726" s="7" t="s">
        <v>201</v>
      </c>
      <c r="E726" s="7" t="s">
        <v>94</v>
      </c>
      <c r="F726" s="7" t="s">
        <v>116</v>
      </c>
      <c r="G726" s="7" t="s">
        <v>184</v>
      </c>
      <c r="H726" s="7" t="s">
        <v>152</v>
      </c>
      <c r="I726" s="7" t="s">
        <v>153</v>
      </c>
      <c r="J726" s="8" t="n">
        <v>46139</v>
      </c>
      <c r="K726" s="8" t="n">
        <v>46216</v>
      </c>
      <c r="L726" s="9" t="n">
        <f aca="false">K726-J726</f>
        <v>77</v>
      </c>
      <c r="M726" s="10" t="n">
        <v>38918.43</v>
      </c>
      <c r="N726" s="7" t="s">
        <v>99</v>
      </c>
      <c r="O726" s="7" t="s">
        <v>124</v>
      </c>
      <c r="P726" s="7"/>
      <c r="Q726" s="7"/>
      <c r="R726" s="7"/>
    </row>
    <row r="727" customFormat="false" ht="15" hidden="false" customHeight="false" outlineLevel="0" collapsed="false">
      <c r="A727" s="7" t="s">
        <v>1266</v>
      </c>
      <c r="B727" s="7" t="s">
        <v>284</v>
      </c>
      <c r="C727" s="7" t="s">
        <v>285</v>
      </c>
      <c r="D727" s="7" t="s">
        <v>201</v>
      </c>
      <c r="E727" s="7" t="s">
        <v>105</v>
      </c>
      <c r="F727" s="7" t="s">
        <v>157</v>
      </c>
      <c r="G727" s="7" t="s">
        <v>117</v>
      </c>
      <c r="H727" s="7" t="s">
        <v>97</v>
      </c>
      <c r="I727" s="7" t="s">
        <v>98</v>
      </c>
      <c r="J727" s="8" t="n">
        <v>46167</v>
      </c>
      <c r="K727" s="8" t="n">
        <v>46218</v>
      </c>
      <c r="L727" s="9" t="n">
        <f aca="false">K727-J727</f>
        <v>51</v>
      </c>
      <c r="M727" s="10" t="n">
        <v>104851.94</v>
      </c>
      <c r="N727" s="7" t="s">
        <v>99</v>
      </c>
      <c r="O727" s="7" t="s">
        <v>219</v>
      </c>
      <c r="P727" s="7"/>
      <c r="Q727" s="7"/>
      <c r="R727" s="7"/>
    </row>
    <row r="728" customFormat="false" ht="15" hidden="false" customHeight="false" outlineLevel="0" collapsed="false">
      <c r="A728" s="7" t="s">
        <v>1267</v>
      </c>
      <c r="B728" s="7" t="s">
        <v>982</v>
      </c>
      <c r="C728" s="7" t="s">
        <v>983</v>
      </c>
      <c r="D728" s="7" t="s">
        <v>135</v>
      </c>
      <c r="E728" s="7" t="s">
        <v>115</v>
      </c>
      <c r="F728" s="7" t="s">
        <v>106</v>
      </c>
      <c r="G728" s="7" t="s">
        <v>117</v>
      </c>
      <c r="H728" s="7" t="s">
        <v>166</v>
      </c>
      <c r="I728" s="7" t="s">
        <v>167</v>
      </c>
      <c r="J728" s="8" t="n">
        <v>46183</v>
      </c>
      <c r="K728" s="8" t="n">
        <v>46218</v>
      </c>
      <c r="L728" s="9" t="n">
        <f aca="false">K728-J728</f>
        <v>35</v>
      </c>
      <c r="M728" s="10" t="n">
        <v>98954.83</v>
      </c>
      <c r="N728" s="7" t="s">
        <v>131</v>
      </c>
      <c r="O728" s="7"/>
      <c r="P728" s="8" t="n">
        <v>46236</v>
      </c>
      <c r="Q728" s="7" t="n">
        <v>6</v>
      </c>
      <c r="R728" s="8" t="n">
        <f aca="false">EDATE(P728,Q728)</f>
        <v>46420</v>
      </c>
    </row>
    <row r="729" customFormat="false" ht="15" hidden="false" customHeight="false" outlineLevel="0" collapsed="false">
      <c r="A729" s="7" t="s">
        <v>1268</v>
      </c>
      <c r="B729" s="7" t="s">
        <v>1217</v>
      </c>
      <c r="C729" s="7" t="s">
        <v>1218</v>
      </c>
      <c r="D729" s="7" t="s">
        <v>151</v>
      </c>
      <c r="E729" s="7" t="s">
        <v>162</v>
      </c>
      <c r="F729" s="7" t="s">
        <v>157</v>
      </c>
      <c r="G729" s="7" t="s">
        <v>137</v>
      </c>
      <c r="H729" s="7" t="s">
        <v>122</v>
      </c>
      <c r="I729" s="7" t="s">
        <v>123</v>
      </c>
      <c r="J729" s="8" t="n">
        <v>46125</v>
      </c>
      <c r="K729" s="8" t="n">
        <v>46220</v>
      </c>
      <c r="L729" s="9" t="n">
        <f aca="false">K729-J729</f>
        <v>95</v>
      </c>
      <c r="M729" s="10" t="n">
        <v>48577.65</v>
      </c>
      <c r="N729" s="7" t="s">
        <v>131</v>
      </c>
      <c r="O729" s="7"/>
      <c r="P729" s="8" t="n">
        <v>46228</v>
      </c>
      <c r="Q729" s="7" t="n">
        <v>4</v>
      </c>
      <c r="R729" s="8" t="n">
        <f aca="false">EDATE(P729,Q729)</f>
        <v>46351</v>
      </c>
    </row>
    <row r="730" customFormat="false" ht="15" hidden="false" customHeight="false" outlineLevel="0" collapsed="false">
      <c r="A730" s="7" t="s">
        <v>1269</v>
      </c>
      <c r="B730" s="7" t="s">
        <v>359</v>
      </c>
      <c r="C730" s="7" t="s">
        <v>360</v>
      </c>
      <c r="D730" s="7" t="s">
        <v>114</v>
      </c>
      <c r="E730" s="7" t="s">
        <v>94</v>
      </c>
      <c r="F730" s="7" t="s">
        <v>116</v>
      </c>
      <c r="G730" s="7" t="s">
        <v>176</v>
      </c>
      <c r="H730" s="7" t="s">
        <v>185</v>
      </c>
      <c r="I730" s="7" t="s">
        <v>186</v>
      </c>
      <c r="J730" s="8" t="n">
        <v>46167</v>
      </c>
      <c r="K730" s="8" t="n">
        <v>46222</v>
      </c>
      <c r="L730" s="9" t="n">
        <f aca="false">K730-J730</f>
        <v>55</v>
      </c>
      <c r="M730" s="10" t="n">
        <v>46152.71</v>
      </c>
      <c r="N730" s="7" t="s">
        <v>99</v>
      </c>
      <c r="O730" s="7" t="s">
        <v>147</v>
      </c>
      <c r="P730" s="7"/>
      <c r="Q730" s="7"/>
      <c r="R730" s="7"/>
    </row>
    <row r="731" customFormat="false" ht="15" hidden="false" customHeight="false" outlineLevel="0" collapsed="false">
      <c r="A731" s="7" t="s">
        <v>1270</v>
      </c>
      <c r="B731" s="7" t="s">
        <v>645</v>
      </c>
      <c r="C731" s="7" t="s">
        <v>646</v>
      </c>
      <c r="D731" s="7" t="s">
        <v>242</v>
      </c>
      <c r="E731" s="7" t="s">
        <v>162</v>
      </c>
      <c r="F731" s="7" t="s">
        <v>106</v>
      </c>
      <c r="G731" s="7" t="s">
        <v>117</v>
      </c>
      <c r="H731" s="7" t="s">
        <v>213</v>
      </c>
      <c r="I731" s="7" t="s">
        <v>214</v>
      </c>
      <c r="J731" s="8" t="n">
        <v>46131</v>
      </c>
      <c r="K731" s="8" t="n">
        <v>46223</v>
      </c>
      <c r="L731" s="9" t="n">
        <f aca="false">K731-J731</f>
        <v>92</v>
      </c>
      <c r="M731" s="10" t="n">
        <v>69257</v>
      </c>
      <c r="N731" s="7" t="s">
        <v>99</v>
      </c>
      <c r="O731" s="7" t="s">
        <v>118</v>
      </c>
      <c r="P731" s="7"/>
      <c r="Q731" s="7"/>
      <c r="R731" s="7"/>
    </row>
    <row r="732" customFormat="false" ht="15" hidden="false" customHeight="false" outlineLevel="0" collapsed="false">
      <c r="A732" s="7" t="s">
        <v>1271</v>
      </c>
      <c r="B732" s="7" t="s">
        <v>340</v>
      </c>
      <c r="C732" s="7" t="s">
        <v>341</v>
      </c>
      <c r="D732" s="7" t="s">
        <v>151</v>
      </c>
      <c r="E732" s="7" t="s">
        <v>105</v>
      </c>
      <c r="F732" s="7" t="s">
        <v>183</v>
      </c>
      <c r="G732" s="7" t="s">
        <v>137</v>
      </c>
      <c r="H732" s="7" t="s">
        <v>185</v>
      </c>
      <c r="I732" s="7" t="s">
        <v>186</v>
      </c>
      <c r="J732" s="8" t="n">
        <v>46121</v>
      </c>
      <c r="K732" s="8" t="n">
        <v>46223</v>
      </c>
      <c r="L732" s="9" t="n">
        <f aca="false">K732-J732</f>
        <v>102</v>
      </c>
      <c r="M732" s="10" t="n">
        <v>116837.83</v>
      </c>
      <c r="N732" s="7" t="s">
        <v>99</v>
      </c>
      <c r="O732" s="7" t="s">
        <v>147</v>
      </c>
      <c r="P732" s="7"/>
      <c r="Q732" s="7"/>
      <c r="R732" s="7"/>
    </row>
    <row r="733" customFormat="false" ht="15" hidden="false" customHeight="false" outlineLevel="0" collapsed="false">
      <c r="A733" s="7" t="s">
        <v>1272</v>
      </c>
      <c r="B733" s="7" t="s">
        <v>188</v>
      </c>
      <c r="C733" s="7" t="s">
        <v>189</v>
      </c>
      <c r="D733" s="7" t="s">
        <v>151</v>
      </c>
      <c r="E733" s="7" t="s">
        <v>105</v>
      </c>
      <c r="F733" s="7" t="s">
        <v>157</v>
      </c>
      <c r="G733" s="7" t="s">
        <v>117</v>
      </c>
      <c r="H733" s="7" t="s">
        <v>190</v>
      </c>
      <c r="I733" s="7" t="s">
        <v>191</v>
      </c>
      <c r="J733" s="8" t="n">
        <v>46128</v>
      </c>
      <c r="K733" s="8" t="n">
        <v>46225</v>
      </c>
      <c r="L733" s="9" t="n">
        <f aca="false">K733-J733</f>
        <v>97</v>
      </c>
      <c r="M733" s="10" t="n">
        <v>88623.34</v>
      </c>
      <c r="N733" s="7" t="s">
        <v>131</v>
      </c>
      <c r="O733" s="7"/>
      <c r="P733" s="8" t="n">
        <v>46228</v>
      </c>
      <c r="Q733" s="7" t="n">
        <v>3</v>
      </c>
      <c r="R733" s="8" t="n">
        <f aca="false">EDATE(P733,Q733)</f>
        <v>46320</v>
      </c>
    </row>
    <row r="734" customFormat="false" ht="15" hidden="false" customHeight="false" outlineLevel="0" collapsed="false">
      <c r="A734" s="7" t="s">
        <v>1273</v>
      </c>
      <c r="B734" s="7" t="s">
        <v>120</v>
      </c>
      <c r="C734" s="7" t="s">
        <v>121</v>
      </c>
      <c r="D734" s="7" t="s">
        <v>104</v>
      </c>
      <c r="E734" s="7" t="s">
        <v>105</v>
      </c>
      <c r="F734" s="7" t="s">
        <v>183</v>
      </c>
      <c r="G734" s="7" t="s">
        <v>117</v>
      </c>
      <c r="H734" s="7" t="s">
        <v>196</v>
      </c>
      <c r="I734" s="7" t="s">
        <v>197</v>
      </c>
      <c r="J734" s="8" t="n">
        <v>46156</v>
      </c>
      <c r="K734" s="8" t="n">
        <v>46226</v>
      </c>
      <c r="L734" s="9" t="n">
        <f aca="false">K734-J734</f>
        <v>70</v>
      </c>
      <c r="M734" s="10" t="n">
        <v>57778.21</v>
      </c>
      <c r="N734" s="7" t="s">
        <v>99</v>
      </c>
      <c r="O734" s="7" t="s">
        <v>219</v>
      </c>
      <c r="P734" s="7"/>
      <c r="Q734" s="7"/>
      <c r="R734" s="7"/>
    </row>
    <row r="735" customFormat="false" ht="15" hidden="false" customHeight="false" outlineLevel="0" collapsed="false">
      <c r="A735" s="7" t="s">
        <v>1274</v>
      </c>
      <c r="B735" s="7" t="s">
        <v>606</v>
      </c>
      <c r="C735" s="7" t="s">
        <v>607</v>
      </c>
      <c r="D735" s="7" t="s">
        <v>135</v>
      </c>
      <c r="E735" s="7" t="s">
        <v>105</v>
      </c>
      <c r="F735" s="7" t="s">
        <v>157</v>
      </c>
      <c r="G735" s="7" t="s">
        <v>117</v>
      </c>
      <c r="H735" s="7" t="s">
        <v>402</v>
      </c>
      <c r="I735" s="7" t="s">
        <v>403</v>
      </c>
      <c r="J735" s="8" t="n">
        <v>46161</v>
      </c>
      <c r="K735" s="8" t="n">
        <v>46229</v>
      </c>
      <c r="L735" s="9" t="n">
        <f aca="false">K735-J735</f>
        <v>68</v>
      </c>
      <c r="M735" s="10" t="n">
        <v>167167.02</v>
      </c>
      <c r="N735" s="7" t="s">
        <v>99</v>
      </c>
      <c r="O735" s="7" t="s">
        <v>100</v>
      </c>
      <c r="P735" s="7"/>
      <c r="Q735" s="7"/>
      <c r="R735" s="7"/>
    </row>
    <row r="736" customFormat="false" ht="15" hidden="false" customHeight="false" outlineLevel="0" collapsed="false">
      <c r="A736" s="7" t="s">
        <v>1275</v>
      </c>
      <c r="B736" s="7" t="s">
        <v>717</v>
      </c>
      <c r="C736" s="7" t="s">
        <v>718</v>
      </c>
      <c r="D736" s="7" t="s">
        <v>114</v>
      </c>
      <c r="E736" s="7" t="s">
        <v>162</v>
      </c>
      <c r="F736" s="7" t="s">
        <v>95</v>
      </c>
      <c r="G736" s="7" t="s">
        <v>176</v>
      </c>
      <c r="H736" s="7" t="s">
        <v>196</v>
      </c>
      <c r="I736" s="7" t="s">
        <v>197</v>
      </c>
      <c r="J736" s="8" t="n">
        <v>46132</v>
      </c>
      <c r="K736" s="8" t="n">
        <v>46230</v>
      </c>
      <c r="L736" s="9" t="n">
        <f aca="false">K736-J736</f>
        <v>98</v>
      </c>
      <c r="M736" s="10" t="n">
        <v>62089.79</v>
      </c>
      <c r="N736" s="7" t="s">
        <v>99</v>
      </c>
      <c r="O736" s="7" t="s">
        <v>118</v>
      </c>
      <c r="P736" s="7"/>
      <c r="Q736" s="7"/>
      <c r="R736" s="7"/>
    </row>
    <row r="737" customFormat="false" ht="15" hidden="false" customHeight="false" outlineLevel="0" collapsed="false">
      <c r="A737" s="7" t="s">
        <v>1276</v>
      </c>
      <c r="B737" s="7" t="s">
        <v>490</v>
      </c>
      <c r="C737" s="7" t="s">
        <v>491</v>
      </c>
      <c r="D737" s="7" t="s">
        <v>195</v>
      </c>
      <c r="E737" s="7" t="s">
        <v>162</v>
      </c>
      <c r="F737" s="7" t="s">
        <v>128</v>
      </c>
      <c r="G737" s="7" t="s">
        <v>144</v>
      </c>
      <c r="H737" s="7" t="s">
        <v>196</v>
      </c>
      <c r="I737" s="7" t="s">
        <v>197</v>
      </c>
      <c r="J737" s="8" t="n">
        <v>46132</v>
      </c>
      <c r="K737" s="8" t="n">
        <v>46231</v>
      </c>
      <c r="L737" s="9" t="n">
        <f aca="false">K737-J737</f>
        <v>99</v>
      </c>
      <c r="M737" s="10" t="n">
        <v>139751.41</v>
      </c>
      <c r="N737" s="7" t="s">
        <v>99</v>
      </c>
      <c r="O737" s="7" t="s">
        <v>100</v>
      </c>
      <c r="P737" s="7"/>
      <c r="Q737" s="7"/>
      <c r="R737" s="7"/>
    </row>
    <row r="738" customFormat="false" ht="15" hidden="false" customHeight="false" outlineLevel="0" collapsed="false">
      <c r="A738" s="7" t="s">
        <v>1277</v>
      </c>
      <c r="B738" s="7" t="s">
        <v>294</v>
      </c>
      <c r="C738" s="7" t="s">
        <v>295</v>
      </c>
      <c r="D738" s="7" t="s">
        <v>93</v>
      </c>
      <c r="E738" s="7" t="s">
        <v>94</v>
      </c>
      <c r="F738" s="7" t="s">
        <v>128</v>
      </c>
      <c r="G738" s="7" t="s">
        <v>137</v>
      </c>
      <c r="H738" s="7" t="s">
        <v>270</v>
      </c>
      <c r="I738" s="7" t="s">
        <v>271</v>
      </c>
      <c r="J738" s="8" t="n">
        <v>46157</v>
      </c>
      <c r="K738" s="8" t="n">
        <v>46235</v>
      </c>
      <c r="L738" s="9" t="n">
        <f aca="false">K738-J738</f>
        <v>78</v>
      </c>
      <c r="M738" s="10" t="n">
        <v>32359.13</v>
      </c>
      <c r="N738" s="7" t="s">
        <v>131</v>
      </c>
      <c r="O738" s="7"/>
      <c r="P738" s="8" t="n">
        <v>46249</v>
      </c>
      <c r="Q738" s="7" t="n">
        <v>3</v>
      </c>
      <c r="R738" s="8" t="n">
        <f aca="false">EDATE(P738,Q738)</f>
        <v>46341</v>
      </c>
    </row>
    <row r="739" customFormat="false" ht="15" hidden="false" customHeight="false" outlineLevel="0" collapsed="false">
      <c r="A739" s="7" t="s">
        <v>1278</v>
      </c>
      <c r="B739" s="7" t="s">
        <v>769</v>
      </c>
      <c r="C739" s="7" t="s">
        <v>770</v>
      </c>
      <c r="D739" s="7" t="s">
        <v>114</v>
      </c>
      <c r="E739" s="7" t="s">
        <v>162</v>
      </c>
      <c r="F739" s="7" t="s">
        <v>128</v>
      </c>
      <c r="G739" s="7" t="s">
        <v>176</v>
      </c>
      <c r="H739" s="7" t="s">
        <v>177</v>
      </c>
      <c r="I739" s="7" t="s">
        <v>178</v>
      </c>
      <c r="J739" s="8" t="n">
        <v>46194</v>
      </c>
      <c r="K739" s="8" t="n">
        <v>46235</v>
      </c>
      <c r="L739" s="9" t="n">
        <f aca="false">K739-J739</f>
        <v>41</v>
      </c>
      <c r="M739" s="10" t="n">
        <v>51139.72</v>
      </c>
      <c r="N739" s="7" t="s">
        <v>99</v>
      </c>
      <c r="O739" s="7" t="s">
        <v>100</v>
      </c>
      <c r="P739" s="7"/>
      <c r="Q739" s="7"/>
      <c r="R739" s="7"/>
    </row>
    <row r="740" customFormat="false" ht="15" hidden="false" customHeight="false" outlineLevel="0" collapsed="false">
      <c r="A740" s="7" t="s">
        <v>1279</v>
      </c>
      <c r="B740" s="7" t="s">
        <v>369</v>
      </c>
      <c r="C740" s="7" t="s">
        <v>370</v>
      </c>
      <c r="D740" s="7" t="s">
        <v>242</v>
      </c>
      <c r="E740" s="7" t="s">
        <v>115</v>
      </c>
      <c r="F740" s="7" t="s">
        <v>183</v>
      </c>
      <c r="G740" s="7" t="s">
        <v>137</v>
      </c>
      <c r="H740" s="7" t="s">
        <v>185</v>
      </c>
      <c r="I740" s="7" t="s">
        <v>186</v>
      </c>
      <c r="J740" s="8" t="n">
        <v>46151</v>
      </c>
      <c r="K740" s="8" t="n">
        <v>46238</v>
      </c>
      <c r="L740" s="9" t="n">
        <f aca="false">K740-J740</f>
        <v>87</v>
      </c>
      <c r="M740" s="10" t="n">
        <v>146598.63</v>
      </c>
      <c r="N740" s="7" t="s">
        <v>131</v>
      </c>
      <c r="O740" s="7"/>
      <c r="P740" s="8" t="n">
        <v>46243</v>
      </c>
      <c r="Q740" s="7" t="n">
        <v>2</v>
      </c>
      <c r="R740" s="8" t="n">
        <f aca="false">EDATE(P740,Q740)</f>
        <v>46304</v>
      </c>
    </row>
    <row r="741" customFormat="false" ht="15" hidden="false" customHeight="false" outlineLevel="0" collapsed="false">
      <c r="A741" s="7" t="s">
        <v>1280</v>
      </c>
      <c r="B741" s="7" t="s">
        <v>577</v>
      </c>
      <c r="C741" s="7" t="s">
        <v>578</v>
      </c>
      <c r="D741" s="7" t="s">
        <v>201</v>
      </c>
      <c r="E741" s="7" t="s">
        <v>94</v>
      </c>
      <c r="F741" s="7" t="s">
        <v>95</v>
      </c>
      <c r="G741" s="7" t="s">
        <v>176</v>
      </c>
      <c r="H741" s="7" t="s">
        <v>196</v>
      </c>
      <c r="I741" s="7" t="s">
        <v>197</v>
      </c>
      <c r="J741" s="8" t="n">
        <v>46174</v>
      </c>
      <c r="K741" s="8" t="n">
        <v>46239</v>
      </c>
      <c r="L741" s="9" t="n">
        <f aca="false">K741-J741</f>
        <v>65</v>
      </c>
      <c r="M741" s="10" t="n">
        <v>224258.63</v>
      </c>
      <c r="N741" s="7" t="s">
        <v>99</v>
      </c>
      <c r="O741" s="7" t="s">
        <v>100</v>
      </c>
      <c r="P741" s="7"/>
      <c r="Q741" s="7"/>
      <c r="R741" s="7"/>
    </row>
    <row r="742" customFormat="false" ht="15" hidden="false" customHeight="false" outlineLevel="0" collapsed="false">
      <c r="A742" s="7" t="s">
        <v>1281</v>
      </c>
      <c r="B742" s="7" t="s">
        <v>126</v>
      </c>
      <c r="C742" s="7" t="s">
        <v>127</v>
      </c>
      <c r="D742" s="7" t="s">
        <v>104</v>
      </c>
      <c r="E742" s="7" t="s">
        <v>105</v>
      </c>
      <c r="F742" s="7" t="s">
        <v>157</v>
      </c>
      <c r="G742" s="7" t="s">
        <v>137</v>
      </c>
      <c r="H742" s="7" t="s">
        <v>205</v>
      </c>
      <c r="I742" s="7" t="s">
        <v>206</v>
      </c>
      <c r="J742" s="8" t="n">
        <v>46154</v>
      </c>
      <c r="K742" s="8" t="n">
        <v>46239</v>
      </c>
      <c r="L742" s="9" t="n">
        <f aca="false">K742-J742</f>
        <v>85</v>
      </c>
      <c r="M742" s="10" t="n">
        <v>104829.49</v>
      </c>
      <c r="N742" s="7" t="s">
        <v>99</v>
      </c>
      <c r="O742" s="7" t="s">
        <v>219</v>
      </c>
      <c r="P742" s="7"/>
      <c r="Q742" s="7"/>
      <c r="R742" s="7"/>
    </row>
    <row r="743" customFormat="false" ht="15" hidden="false" customHeight="false" outlineLevel="0" collapsed="false">
      <c r="A743" s="7" t="s">
        <v>1282</v>
      </c>
      <c r="B743" s="7" t="s">
        <v>641</v>
      </c>
      <c r="C743" s="7" t="s">
        <v>642</v>
      </c>
      <c r="D743" s="7" t="s">
        <v>104</v>
      </c>
      <c r="E743" s="7" t="s">
        <v>115</v>
      </c>
      <c r="F743" s="7" t="s">
        <v>106</v>
      </c>
      <c r="G743" s="7" t="s">
        <v>137</v>
      </c>
      <c r="H743" s="7" t="s">
        <v>180</v>
      </c>
      <c r="I743" s="7" t="s">
        <v>181</v>
      </c>
      <c r="J743" s="8" t="n">
        <v>46121</v>
      </c>
      <c r="K743" s="8" t="n">
        <v>46240</v>
      </c>
      <c r="L743" s="9" t="n">
        <f aca="false">K743-J743</f>
        <v>119</v>
      </c>
      <c r="M743" s="10" t="n">
        <v>115082.91</v>
      </c>
      <c r="N743" s="7" t="s">
        <v>99</v>
      </c>
      <c r="O743" s="7" t="s">
        <v>124</v>
      </c>
      <c r="P743" s="7"/>
      <c r="Q743" s="7"/>
      <c r="R743" s="7"/>
    </row>
    <row r="744" customFormat="false" ht="15" hidden="false" customHeight="false" outlineLevel="0" collapsed="false">
      <c r="A744" s="7" t="s">
        <v>1283</v>
      </c>
      <c r="B744" s="7" t="s">
        <v>388</v>
      </c>
      <c r="C744" s="7" t="s">
        <v>389</v>
      </c>
      <c r="D744" s="7" t="s">
        <v>201</v>
      </c>
      <c r="E744" s="7" t="s">
        <v>94</v>
      </c>
      <c r="F744" s="7" t="s">
        <v>183</v>
      </c>
      <c r="G744" s="7" t="s">
        <v>107</v>
      </c>
      <c r="H744" s="7" t="s">
        <v>180</v>
      </c>
      <c r="I744" s="7" t="s">
        <v>181</v>
      </c>
      <c r="J744" s="8" t="n">
        <v>46189</v>
      </c>
      <c r="K744" s="8" t="n">
        <v>46242</v>
      </c>
      <c r="L744" s="9" t="n">
        <f aca="false">K744-J744</f>
        <v>53</v>
      </c>
      <c r="M744" s="10" t="n">
        <v>26651.55</v>
      </c>
      <c r="N744" s="7" t="s">
        <v>131</v>
      </c>
      <c r="O744" s="7"/>
      <c r="P744" s="8" t="n">
        <v>46251</v>
      </c>
      <c r="Q744" s="7" t="n">
        <v>2</v>
      </c>
      <c r="R744" s="8" t="n">
        <f aca="false">EDATE(P744,Q744)</f>
        <v>46312</v>
      </c>
    </row>
    <row r="745" customFormat="false" ht="15" hidden="false" customHeight="false" outlineLevel="0" collapsed="false">
      <c r="A745" s="7" t="s">
        <v>1284</v>
      </c>
      <c r="B745" s="7" t="s">
        <v>645</v>
      </c>
      <c r="C745" s="7" t="s">
        <v>646</v>
      </c>
      <c r="D745" s="7" t="s">
        <v>242</v>
      </c>
      <c r="E745" s="7" t="s">
        <v>162</v>
      </c>
      <c r="F745" s="7" t="s">
        <v>95</v>
      </c>
      <c r="G745" s="7" t="s">
        <v>137</v>
      </c>
      <c r="H745" s="7" t="s">
        <v>108</v>
      </c>
      <c r="I745" s="7" t="s">
        <v>109</v>
      </c>
      <c r="J745" s="8" t="n">
        <v>46144</v>
      </c>
      <c r="K745" s="8" t="n">
        <v>46244</v>
      </c>
      <c r="L745" s="9" t="n">
        <f aca="false">K745-J745</f>
        <v>100</v>
      </c>
      <c r="M745" s="10" t="n">
        <v>43634.79</v>
      </c>
      <c r="N745" s="7" t="s">
        <v>131</v>
      </c>
      <c r="O745" s="7"/>
      <c r="P745" s="8" t="n">
        <v>46244</v>
      </c>
      <c r="Q745" s="7" t="n">
        <v>3</v>
      </c>
      <c r="R745" s="8" t="n">
        <f aca="false">EDATE(P745,Q745)</f>
        <v>46336</v>
      </c>
    </row>
    <row r="746" customFormat="false" ht="15" hidden="false" customHeight="false" outlineLevel="0" collapsed="false">
      <c r="A746" s="7" t="s">
        <v>1285</v>
      </c>
      <c r="B746" s="7" t="s">
        <v>253</v>
      </c>
      <c r="C746" s="7" t="s">
        <v>254</v>
      </c>
      <c r="D746" s="7" t="s">
        <v>242</v>
      </c>
      <c r="E746" s="7" t="s">
        <v>105</v>
      </c>
      <c r="F746" s="7" t="s">
        <v>106</v>
      </c>
      <c r="G746" s="7" t="s">
        <v>144</v>
      </c>
      <c r="H746" s="7" t="s">
        <v>258</v>
      </c>
      <c r="I746" s="7" t="s">
        <v>259</v>
      </c>
      <c r="J746" s="8" t="n">
        <v>46156</v>
      </c>
      <c r="K746" s="8" t="n">
        <v>46244</v>
      </c>
      <c r="L746" s="9" t="n">
        <f aca="false">K746-J746</f>
        <v>88</v>
      </c>
      <c r="M746" s="10" t="n">
        <v>177837.23</v>
      </c>
      <c r="N746" s="7" t="s">
        <v>99</v>
      </c>
      <c r="O746" s="7" t="s">
        <v>110</v>
      </c>
      <c r="P746" s="7"/>
      <c r="Q746" s="7"/>
      <c r="R746" s="7"/>
    </row>
    <row r="747" customFormat="false" ht="15" hidden="false" customHeight="false" outlineLevel="0" collapsed="false">
      <c r="A747" s="7" t="s">
        <v>1286</v>
      </c>
      <c r="B747" s="7" t="s">
        <v>237</v>
      </c>
      <c r="C747" s="7" t="s">
        <v>238</v>
      </c>
      <c r="D747" s="7" t="s">
        <v>195</v>
      </c>
      <c r="E747" s="7" t="s">
        <v>94</v>
      </c>
      <c r="F747" s="7" t="s">
        <v>106</v>
      </c>
      <c r="G747" s="7" t="s">
        <v>137</v>
      </c>
      <c r="H747" s="7" t="s">
        <v>129</v>
      </c>
      <c r="I747" s="7" t="s">
        <v>130</v>
      </c>
      <c r="J747" s="8" t="n">
        <v>46191</v>
      </c>
      <c r="K747" s="8" t="n">
        <v>46244</v>
      </c>
      <c r="L747" s="9" t="n">
        <f aca="false">K747-J747</f>
        <v>53</v>
      </c>
      <c r="M747" s="10" t="n">
        <v>47129.96</v>
      </c>
      <c r="N747" s="7" t="s">
        <v>99</v>
      </c>
      <c r="O747" s="7" t="s">
        <v>124</v>
      </c>
      <c r="P747" s="7"/>
      <c r="Q747" s="7"/>
      <c r="R747" s="7"/>
    </row>
    <row r="748" customFormat="false" ht="15" hidden="false" customHeight="false" outlineLevel="0" collapsed="false">
      <c r="A748" s="7" t="s">
        <v>1287</v>
      </c>
      <c r="B748" s="7" t="s">
        <v>102</v>
      </c>
      <c r="C748" s="7" t="s">
        <v>103</v>
      </c>
      <c r="D748" s="7" t="s">
        <v>104</v>
      </c>
      <c r="E748" s="7" t="s">
        <v>105</v>
      </c>
      <c r="F748" s="7" t="s">
        <v>183</v>
      </c>
      <c r="G748" s="7" t="s">
        <v>117</v>
      </c>
      <c r="H748" s="7" t="s">
        <v>231</v>
      </c>
      <c r="I748" s="7" t="s">
        <v>232</v>
      </c>
      <c r="J748" s="8" t="n">
        <v>46128</v>
      </c>
      <c r="K748" s="8" t="n">
        <v>46245</v>
      </c>
      <c r="L748" s="9" t="n">
        <f aca="false">K748-J748</f>
        <v>117</v>
      </c>
      <c r="M748" s="10" t="n">
        <v>156685.21</v>
      </c>
      <c r="N748" s="7" t="s">
        <v>99</v>
      </c>
      <c r="O748" s="7" t="s">
        <v>219</v>
      </c>
      <c r="P748" s="7"/>
      <c r="Q748" s="7"/>
      <c r="R748" s="7"/>
    </row>
    <row r="749" customFormat="false" ht="15" hidden="false" customHeight="false" outlineLevel="0" collapsed="false">
      <c r="A749" s="7" t="s">
        <v>1288</v>
      </c>
      <c r="B749" s="7" t="s">
        <v>1289</v>
      </c>
      <c r="C749" s="7" t="s">
        <v>1290</v>
      </c>
      <c r="D749" s="7" t="s">
        <v>151</v>
      </c>
      <c r="E749" s="7" t="s">
        <v>115</v>
      </c>
      <c r="F749" s="7" t="s">
        <v>95</v>
      </c>
      <c r="G749" s="7" t="s">
        <v>117</v>
      </c>
      <c r="H749" s="7" t="s">
        <v>122</v>
      </c>
      <c r="I749" s="7" t="s">
        <v>123</v>
      </c>
      <c r="J749" s="8" t="n">
        <v>46203</v>
      </c>
      <c r="K749" s="8" t="n">
        <v>46246</v>
      </c>
      <c r="L749" s="9" t="n">
        <f aca="false">K749-J749</f>
        <v>43</v>
      </c>
      <c r="M749" s="10" t="n">
        <v>27026.88</v>
      </c>
      <c r="N749" s="7" t="s">
        <v>99</v>
      </c>
      <c r="O749" s="7" t="s">
        <v>110</v>
      </c>
      <c r="P749" s="7"/>
      <c r="Q749" s="7"/>
      <c r="R749" s="7"/>
    </row>
    <row r="750" customFormat="false" ht="15" hidden="false" customHeight="false" outlineLevel="0" collapsed="false">
      <c r="A750" s="7" t="s">
        <v>1291</v>
      </c>
      <c r="B750" s="7" t="s">
        <v>226</v>
      </c>
      <c r="C750" s="7" t="s">
        <v>227</v>
      </c>
      <c r="D750" s="7" t="s">
        <v>93</v>
      </c>
      <c r="E750" s="7" t="s">
        <v>105</v>
      </c>
      <c r="F750" s="7" t="s">
        <v>116</v>
      </c>
      <c r="G750" s="7" t="s">
        <v>176</v>
      </c>
      <c r="H750" s="7" t="s">
        <v>196</v>
      </c>
      <c r="I750" s="7" t="s">
        <v>197</v>
      </c>
      <c r="J750" s="8" t="n">
        <v>46178</v>
      </c>
      <c r="K750" s="8" t="n">
        <v>46247</v>
      </c>
      <c r="L750" s="9" t="n">
        <f aca="false">K750-J750</f>
        <v>69</v>
      </c>
      <c r="M750" s="10" t="n">
        <v>62115.14</v>
      </c>
      <c r="N750" s="7" t="s">
        <v>99</v>
      </c>
      <c r="O750" s="7" t="s">
        <v>219</v>
      </c>
      <c r="P750" s="7"/>
      <c r="Q750" s="7"/>
      <c r="R750" s="7"/>
    </row>
    <row r="751" customFormat="false" ht="15" hidden="false" customHeight="false" outlineLevel="0" collapsed="false">
      <c r="A751" s="7" t="s">
        <v>1292</v>
      </c>
      <c r="B751" s="7" t="s">
        <v>799</v>
      </c>
      <c r="C751" s="7" t="s">
        <v>800</v>
      </c>
      <c r="D751" s="7" t="s">
        <v>195</v>
      </c>
      <c r="E751" s="7" t="s">
        <v>105</v>
      </c>
      <c r="F751" s="7" t="s">
        <v>106</v>
      </c>
      <c r="G751" s="7" t="s">
        <v>144</v>
      </c>
      <c r="H751" s="7" t="s">
        <v>223</v>
      </c>
      <c r="I751" s="7" t="s">
        <v>224</v>
      </c>
      <c r="J751" s="8" t="n">
        <v>46141</v>
      </c>
      <c r="K751" s="8" t="n">
        <v>46252</v>
      </c>
      <c r="L751" s="9" t="n">
        <f aca="false">K751-J751</f>
        <v>111</v>
      </c>
      <c r="M751" s="10" t="n">
        <v>358827.15</v>
      </c>
      <c r="N751" s="7" t="s">
        <v>131</v>
      </c>
      <c r="O751" s="7"/>
      <c r="P751" s="8" t="n">
        <v>46260</v>
      </c>
      <c r="Q751" s="7" t="n">
        <v>5</v>
      </c>
      <c r="R751" s="8" t="n">
        <f aca="false">EDATE(P751,Q751)</f>
        <v>46413</v>
      </c>
    </row>
    <row r="752" customFormat="false" ht="15" hidden="false" customHeight="false" outlineLevel="0" collapsed="false">
      <c r="A752" s="7" t="s">
        <v>1293</v>
      </c>
      <c r="B752" s="7" t="s">
        <v>188</v>
      </c>
      <c r="C752" s="7" t="s">
        <v>189</v>
      </c>
      <c r="D752" s="7" t="s">
        <v>151</v>
      </c>
      <c r="E752" s="7" t="s">
        <v>105</v>
      </c>
      <c r="F752" s="7" t="s">
        <v>183</v>
      </c>
      <c r="G752" s="7" t="s">
        <v>96</v>
      </c>
      <c r="H752" s="7" t="s">
        <v>213</v>
      </c>
      <c r="I752" s="7" t="s">
        <v>214</v>
      </c>
      <c r="J752" s="8" t="n">
        <v>46187</v>
      </c>
      <c r="K752" s="8" t="n">
        <v>46255</v>
      </c>
      <c r="L752" s="9" t="n">
        <f aca="false">K752-J752</f>
        <v>68</v>
      </c>
      <c r="M752" s="10" t="n">
        <v>107894.32</v>
      </c>
      <c r="N752" s="7" t="s">
        <v>99</v>
      </c>
      <c r="O752" s="7" t="s">
        <v>110</v>
      </c>
      <c r="P752" s="7"/>
      <c r="Q752" s="7"/>
      <c r="R752" s="7"/>
    </row>
    <row r="753" customFormat="false" ht="15" hidden="false" customHeight="false" outlineLevel="0" collapsed="false">
      <c r="A753" s="7" t="s">
        <v>1294</v>
      </c>
      <c r="B753" s="7" t="s">
        <v>211</v>
      </c>
      <c r="C753" s="7" t="s">
        <v>212</v>
      </c>
      <c r="D753" s="7" t="s">
        <v>201</v>
      </c>
      <c r="E753" s="7" t="s">
        <v>105</v>
      </c>
      <c r="F753" s="7" t="s">
        <v>136</v>
      </c>
      <c r="G753" s="7" t="s">
        <v>176</v>
      </c>
      <c r="H753" s="7" t="s">
        <v>258</v>
      </c>
      <c r="I753" s="7" t="s">
        <v>259</v>
      </c>
      <c r="J753" s="8" t="n">
        <v>46187</v>
      </c>
      <c r="K753" s="8" t="n">
        <v>46257</v>
      </c>
      <c r="L753" s="9" t="n">
        <f aca="false">K753-J753</f>
        <v>70</v>
      </c>
      <c r="M753" s="10" t="n">
        <v>128756.57</v>
      </c>
      <c r="N753" s="7" t="s">
        <v>99</v>
      </c>
      <c r="O753" s="7" t="s">
        <v>110</v>
      </c>
      <c r="P753" s="7"/>
      <c r="Q753" s="7"/>
      <c r="R753" s="7"/>
    </row>
    <row r="754" customFormat="false" ht="15" hidden="false" customHeight="false" outlineLevel="0" collapsed="false">
      <c r="A754" s="7" t="s">
        <v>1295</v>
      </c>
      <c r="B754" s="7" t="s">
        <v>395</v>
      </c>
      <c r="C754" s="7" t="s">
        <v>396</v>
      </c>
      <c r="D754" s="7" t="s">
        <v>195</v>
      </c>
      <c r="E754" s="7" t="s">
        <v>162</v>
      </c>
      <c r="F754" s="7" t="s">
        <v>143</v>
      </c>
      <c r="G754" s="7" t="s">
        <v>144</v>
      </c>
      <c r="H754" s="7" t="s">
        <v>108</v>
      </c>
      <c r="I754" s="7" t="s">
        <v>109</v>
      </c>
      <c r="J754" s="8" t="n">
        <v>46209</v>
      </c>
      <c r="K754" s="8" t="n">
        <v>46258</v>
      </c>
      <c r="L754" s="9" t="n">
        <f aca="false">K754-J754</f>
        <v>49</v>
      </c>
      <c r="M754" s="10" t="n">
        <v>35285.08</v>
      </c>
      <c r="N754" s="7" t="s">
        <v>99</v>
      </c>
      <c r="O754" s="7" t="s">
        <v>110</v>
      </c>
      <c r="P754" s="7"/>
      <c r="Q754" s="7"/>
      <c r="R754" s="7"/>
    </row>
    <row r="755" customFormat="false" ht="15" hidden="false" customHeight="false" outlineLevel="0" collapsed="false">
      <c r="A755" s="7" t="s">
        <v>1296</v>
      </c>
      <c r="B755" s="7" t="s">
        <v>160</v>
      </c>
      <c r="C755" s="7" t="s">
        <v>161</v>
      </c>
      <c r="D755" s="7" t="s">
        <v>151</v>
      </c>
      <c r="E755" s="7" t="s">
        <v>162</v>
      </c>
      <c r="F755" s="7" t="s">
        <v>143</v>
      </c>
      <c r="G755" s="7" t="s">
        <v>184</v>
      </c>
      <c r="H755" s="7" t="s">
        <v>213</v>
      </c>
      <c r="I755" s="7" t="s">
        <v>214</v>
      </c>
      <c r="J755" s="8" t="n">
        <v>46175</v>
      </c>
      <c r="K755" s="8" t="n">
        <v>46259</v>
      </c>
      <c r="L755" s="9" t="n">
        <f aca="false">K755-J755</f>
        <v>84</v>
      </c>
      <c r="M755" s="10" t="n">
        <v>75319.95</v>
      </c>
      <c r="N755" s="7" t="s">
        <v>99</v>
      </c>
      <c r="O755" s="7" t="s">
        <v>124</v>
      </c>
      <c r="P755" s="7"/>
      <c r="Q755" s="7"/>
      <c r="R755" s="7"/>
    </row>
    <row r="756" customFormat="false" ht="15" hidden="false" customHeight="false" outlineLevel="0" collapsed="false">
      <c r="A756" s="7" t="s">
        <v>1297</v>
      </c>
      <c r="B756" s="7" t="s">
        <v>112</v>
      </c>
      <c r="C756" s="7" t="s">
        <v>113</v>
      </c>
      <c r="D756" s="7" t="s">
        <v>114</v>
      </c>
      <c r="E756" s="7" t="s">
        <v>115</v>
      </c>
      <c r="F756" s="7" t="s">
        <v>128</v>
      </c>
      <c r="G756" s="7" t="s">
        <v>117</v>
      </c>
      <c r="H756" s="7" t="s">
        <v>281</v>
      </c>
      <c r="I756" s="7" t="s">
        <v>282</v>
      </c>
      <c r="J756" s="8" t="n">
        <v>46199</v>
      </c>
      <c r="K756" s="8" t="n">
        <v>46260</v>
      </c>
      <c r="L756" s="9" t="n">
        <f aca="false">K756-J756</f>
        <v>61</v>
      </c>
      <c r="M756" s="10" t="n">
        <v>30366.12</v>
      </c>
      <c r="N756" s="7" t="s">
        <v>131</v>
      </c>
      <c r="O756" s="7"/>
      <c r="P756" s="8" t="n">
        <v>46282</v>
      </c>
      <c r="Q756" s="7" t="n">
        <v>2</v>
      </c>
      <c r="R756" s="8" t="n">
        <f aca="false">EDATE(P756,Q756)</f>
        <v>46343</v>
      </c>
    </row>
    <row r="757" customFormat="false" ht="15" hidden="false" customHeight="false" outlineLevel="0" collapsed="false">
      <c r="A757" s="7" t="s">
        <v>1298</v>
      </c>
      <c r="B757" s="7" t="s">
        <v>102</v>
      </c>
      <c r="C757" s="7" t="s">
        <v>103</v>
      </c>
      <c r="D757" s="7" t="s">
        <v>104</v>
      </c>
      <c r="E757" s="7" t="s">
        <v>105</v>
      </c>
      <c r="F757" s="7" t="s">
        <v>106</v>
      </c>
      <c r="G757" s="7" t="s">
        <v>117</v>
      </c>
      <c r="H757" s="7" t="s">
        <v>152</v>
      </c>
      <c r="I757" s="7" t="s">
        <v>153</v>
      </c>
      <c r="J757" s="8" t="n">
        <v>46191</v>
      </c>
      <c r="K757" s="8" t="n">
        <v>46263</v>
      </c>
      <c r="L757" s="9" t="n">
        <f aca="false">K757-J757</f>
        <v>72</v>
      </c>
      <c r="M757" s="10" t="n">
        <v>91986.94</v>
      </c>
      <c r="N757" s="7" t="s">
        <v>99</v>
      </c>
      <c r="O757" s="7" t="s">
        <v>124</v>
      </c>
      <c r="P757" s="7"/>
      <c r="Q757" s="7"/>
      <c r="R757" s="7"/>
    </row>
    <row r="758" customFormat="false" ht="15" hidden="false" customHeight="false" outlineLevel="0" collapsed="false">
      <c r="A758" s="7" t="s">
        <v>1299</v>
      </c>
      <c r="B758" s="7" t="s">
        <v>912</v>
      </c>
      <c r="C758" s="7" t="s">
        <v>913</v>
      </c>
      <c r="D758" s="7" t="s">
        <v>151</v>
      </c>
      <c r="E758" s="7" t="s">
        <v>94</v>
      </c>
      <c r="F758" s="7" t="s">
        <v>143</v>
      </c>
      <c r="G758" s="7" t="s">
        <v>184</v>
      </c>
      <c r="H758" s="7" t="s">
        <v>180</v>
      </c>
      <c r="I758" s="7" t="s">
        <v>181</v>
      </c>
      <c r="J758" s="8" t="n">
        <v>46167</v>
      </c>
      <c r="K758" s="8" t="n">
        <v>46266</v>
      </c>
      <c r="L758" s="9" t="n">
        <f aca="false">K758-J758</f>
        <v>99</v>
      </c>
      <c r="M758" s="10" t="n">
        <v>273787.06</v>
      </c>
      <c r="N758" s="7" t="s">
        <v>99</v>
      </c>
      <c r="O758" s="7" t="s">
        <v>147</v>
      </c>
      <c r="P758" s="7"/>
      <c r="Q758" s="7"/>
      <c r="R758" s="7"/>
    </row>
    <row r="759" customFormat="false" ht="15" hidden="false" customHeight="false" outlineLevel="0" collapsed="false">
      <c r="A759" s="7" t="s">
        <v>1300</v>
      </c>
      <c r="B759" s="7" t="s">
        <v>1301</v>
      </c>
      <c r="C759" s="7" t="s">
        <v>1302</v>
      </c>
      <c r="D759" s="7" t="s">
        <v>242</v>
      </c>
      <c r="E759" s="7" t="s">
        <v>94</v>
      </c>
      <c r="F759" s="7" t="s">
        <v>143</v>
      </c>
      <c r="G759" s="7" t="s">
        <v>137</v>
      </c>
      <c r="H759" s="7" t="s">
        <v>223</v>
      </c>
      <c r="I759" s="7" t="s">
        <v>224</v>
      </c>
      <c r="J759" s="8" t="n">
        <v>46145</v>
      </c>
      <c r="K759" s="8" t="n">
        <v>46267</v>
      </c>
      <c r="L759" s="9" t="n">
        <f aca="false">K759-J759</f>
        <v>122</v>
      </c>
      <c r="M759" s="10" t="n">
        <v>343372.44</v>
      </c>
      <c r="N759" s="7" t="s">
        <v>131</v>
      </c>
      <c r="O759" s="7"/>
      <c r="P759" s="8" t="n">
        <v>46288</v>
      </c>
      <c r="Q759" s="7" t="n">
        <v>8</v>
      </c>
      <c r="R759" s="8" t="n">
        <f aca="false">EDATE(P759,Q759)</f>
        <v>46530</v>
      </c>
    </row>
    <row r="760" customFormat="false" ht="15" hidden="false" customHeight="false" outlineLevel="0" collapsed="false">
      <c r="A760" s="7" t="s">
        <v>1303</v>
      </c>
      <c r="B760" s="7" t="s">
        <v>217</v>
      </c>
      <c r="C760" s="7" t="s">
        <v>218</v>
      </c>
      <c r="D760" s="7" t="s">
        <v>104</v>
      </c>
      <c r="E760" s="7" t="s">
        <v>105</v>
      </c>
      <c r="F760" s="7" t="s">
        <v>128</v>
      </c>
      <c r="G760" s="7" t="s">
        <v>137</v>
      </c>
      <c r="H760" s="7" t="s">
        <v>166</v>
      </c>
      <c r="I760" s="7" t="s">
        <v>167</v>
      </c>
      <c r="J760" s="8" t="n">
        <v>46151</v>
      </c>
      <c r="K760" s="8" t="n">
        <v>46272</v>
      </c>
      <c r="L760" s="9" t="n">
        <f aca="false">K760-J760</f>
        <v>121</v>
      </c>
      <c r="M760" s="10" t="n">
        <v>148758.76</v>
      </c>
      <c r="N760" s="7" t="s">
        <v>131</v>
      </c>
      <c r="O760" s="7"/>
      <c r="P760" s="8" t="n">
        <v>46274</v>
      </c>
      <c r="Q760" s="7" t="n">
        <v>2</v>
      </c>
      <c r="R760" s="8" t="n">
        <f aca="false">EDATE(P760,Q760)</f>
        <v>46335</v>
      </c>
    </row>
    <row r="761" customFormat="false" ht="15" hidden="false" customHeight="false" outlineLevel="0" collapsed="false">
      <c r="A761" s="7" t="s">
        <v>1304</v>
      </c>
      <c r="B761" s="7" t="s">
        <v>427</v>
      </c>
      <c r="C761" s="7" t="s">
        <v>428</v>
      </c>
      <c r="D761" s="7" t="s">
        <v>151</v>
      </c>
      <c r="E761" s="7" t="s">
        <v>94</v>
      </c>
      <c r="F761" s="7" t="s">
        <v>183</v>
      </c>
      <c r="G761" s="7" t="s">
        <v>176</v>
      </c>
      <c r="H761" s="7" t="s">
        <v>145</v>
      </c>
      <c r="I761" s="7" t="s">
        <v>146</v>
      </c>
      <c r="J761" s="8" t="n">
        <v>46173</v>
      </c>
      <c r="K761" s="8" t="n">
        <v>46273</v>
      </c>
      <c r="L761" s="9" t="n">
        <f aca="false">K761-J761</f>
        <v>100</v>
      </c>
      <c r="M761" s="10" t="n">
        <v>220527.05</v>
      </c>
      <c r="N761" s="7" t="s">
        <v>99</v>
      </c>
      <c r="O761" s="7" t="s">
        <v>124</v>
      </c>
      <c r="P761" s="7"/>
      <c r="Q761" s="7"/>
      <c r="R761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7" min="6" style="0" width="20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20"/>
    <col collapsed="false" customWidth="true" hidden="false" outlineLevel="0" max="16" min="15" style="0" width="16"/>
    <col collapsed="false" customWidth="true" hidden="false" outlineLevel="0" max="17" min="17" style="0" width="18"/>
  </cols>
  <sheetData>
    <row r="1" customFormat="false" ht="23.85" hidden="false" customHeight="false" outlineLevel="0" collapsed="false">
      <c r="A1" s="6" t="s">
        <v>62</v>
      </c>
      <c r="B1" s="6" t="s">
        <v>81</v>
      </c>
      <c r="C1" s="6" t="s">
        <v>82</v>
      </c>
      <c r="D1" s="6" t="s">
        <v>83</v>
      </c>
      <c r="E1" s="6" t="s">
        <v>84</v>
      </c>
      <c r="F1" s="6" t="s">
        <v>41</v>
      </c>
      <c r="G1" s="6" t="s">
        <v>43</v>
      </c>
      <c r="H1" s="6" t="s">
        <v>85</v>
      </c>
      <c r="I1" s="6" t="s">
        <v>86</v>
      </c>
      <c r="J1" s="6" t="s">
        <v>66</v>
      </c>
      <c r="K1" s="6" t="s">
        <v>68</v>
      </c>
      <c r="L1" s="6" t="s">
        <v>70</v>
      </c>
      <c r="M1" s="6" t="s">
        <v>51</v>
      </c>
      <c r="N1" s="6" t="s">
        <v>73</v>
      </c>
      <c r="O1" s="6" t="s">
        <v>75</v>
      </c>
      <c r="P1" s="6" t="s">
        <v>77</v>
      </c>
      <c r="Q1" s="6" t="s">
        <v>79</v>
      </c>
    </row>
    <row r="2" customFormat="false" ht="15" hidden="false" customHeight="false" outlineLevel="0" collapsed="false">
      <c r="A2" s="7" t="s">
        <v>1305</v>
      </c>
      <c r="B2" s="7" t="s">
        <v>388</v>
      </c>
      <c r="C2" s="7" t="s">
        <v>389</v>
      </c>
      <c r="D2" s="7" t="s">
        <v>201</v>
      </c>
      <c r="E2" s="7" t="s">
        <v>94</v>
      </c>
      <c r="F2" s="7" t="s">
        <v>136</v>
      </c>
      <c r="G2" s="7" t="s">
        <v>137</v>
      </c>
      <c r="H2" s="7" t="s">
        <v>402</v>
      </c>
      <c r="I2" s="7" t="s">
        <v>403</v>
      </c>
      <c r="J2" s="8" t="n">
        <v>45569</v>
      </c>
      <c r="K2" s="7" t="s">
        <v>1306</v>
      </c>
      <c r="L2" s="11" t="n">
        <v>0.13</v>
      </c>
      <c r="M2" s="10" t="n">
        <v>259957.48</v>
      </c>
      <c r="N2" s="10" t="n">
        <f aca="false">L2*M2</f>
        <v>33794.4724</v>
      </c>
      <c r="O2" s="8" t="n">
        <v>46493</v>
      </c>
      <c r="P2" s="9" t="n">
        <f aca="true">TODAY()-J2</f>
        <v>705</v>
      </c>
      <c r="Q2" s="9" t="n">
        <f aca="true">O2-TODAY()</f>
        <v>219</v>
      </c>
    </row>
    <row r="3" customFormat="false" ht="15" hidden="false" customHeight="false" outlineLevel="0" collapsed="false">
      <c r="A3" s="7" t="s">
        <v>1307</v>
      </c>
      <c r="B3" s="7" t="s">
        <v>303</v>
      </c>
      <c r="C3" s="7" t="s">
        <v>304</v>
      </c>
      <c r="D3" s="7" t="s">
        <v>93</v>
      </c>
      <c r="E3" s="7" t="s">
        <v>115</v>
      </c>
      <c r="F3" s="7" t="s">
        <v>183</v>
      </c>
      <c r="G3" s="7" t="s">
        <v>144</v>
      </c>
      <c r="H3" s="7" t="s">
        <v>145</v>
      </c>
      <c r="I3" s="7" t="s">
        <v>146</v>
      </c>
      <c r="J3" s="8" t="n">
        <v>45639</v>
      </c>
      <c r="K3" s="7" t="s">
        <v>1306</v>
      </c>
      <c r="L3" s="11" t="n">
        <v>0.19</v>
      </c>
      <c r="M3" s="10" t="n">
        <v>74493.54</v>
      </c>
      <c r="N3" s="10" t="n">
        <f aca="false">L3*M3</f>
        <v>14153.7726</v>
      </c>
      <c r="O3" s="8" t="n">
        <v>46540</v>
      </c>
      <c r="P3" s="9" t="n">
        <f aca="true">TODAY()-J3</f>
        <v>635</v>
      </c>
      <c r="Q3" s="9" t="n">
        <f aca="true">O3-TODAY()</f>
        <v>266</v>
      </c>
    </row>
    <row r="4" customFormat="false" ht="15" hidden="false" customHeight="false" outlineLevel="0" collapsed="false">
      <c r="A4" s="7" t="s">
        <v>1308</v>
      </c>
      <c r="B4" s="7" t="s">
        <v>780</v>
      </c>
      <c r="C4" s="7" t="s">
        <v>781</v>
      </c>
      <c r="D4" s="7" t="s">
        <v>114</v>
      </c>
      <c r="E4" s="7" t="s">
        <v>105</v>
      </c>
      <c r="F4" s="7" t="s">
        <v>95</v>
      </c>
      <c r="G4" s="7" t="s">
        <v>184</v>
      </c>
      <c r="H4" s="7" t="s">
        <v>122</v>
      </c>
      <c r="I4" s="7" t="s">
        <v>123</v>
      </c>
      <c r="J4" s="8" t="n">
        <v>45644</v>
      </c>
      <c r="K4" s="7" t="s">
        <v>1309</v>
      </c>
      <c r="L4" s="11" t="n">
        <v>0.25</v>
      </c>
      <c r="M4" s="10" t="n">
        <v>96626.08</v>
      </c>
      <c r="N4" s="10" t="n">
        <f aca="false">L4*M4</f>
        <v>24156.52</v>
      </c>
      <c r="O4" s="8" t="n">
        <v>46292</v>
      </c>
      <c r="P4" s="9" t="n">
        <f aca="true">TODAY()-J4</f>
        <v>630</v>
      </c>
      <c r="Q4" s="9" t="n">
        <f aca="true">O4-TODAY()</f>
        <v>18</v>
      </c>
    </row>
    <row r="5" customFormat="false" ht="15" hidden="false" customHeight="false" outlineLevel="0" collapsed="false">
      <c r="A5" s="7" t="s">
        <v>1310</v>
      </c>
      <c r="B5" s="7" t="s">
        <v>1311</v>
      </c>
      <c r="C5" s="7" t="s">
        <v>1312</v>
      </c>
      <c r="D5" s="7" t="s">
        <v>201</v>
      </c>
      <c r="E5" s="7" t="s">
        <v>115</v>
      </c>
      <c r="F5" s="7" t="s">
        <v>116</v>
      </c>
      <c r="G5" s="7" t="s">
        <v>184</v>
      </c>
      <c r="H5" s="7" t="s">
        <v>231</v>
      </c>
      <c r="I5" s="7" t="s">
        <v>232</v>
      </c>
      <c r="J5" s="8" t="n">
        <v>45650</v>
      </c>
      <c r="K5" s="7" t="s">
        <v>1306</v>
      </c>
      <c r="L5" s="11" t="n">
        <v>0.07</v>
      </c>
      <c r="M5" s="10" t="n">
        <v>289784.37</v>
      </c>
      <c r="N5" s="10" t="n">
        <f aca="false">L5*M5</f>
        <v>20284.9059</v>
      </c>
      <c r="O5" s="8" t="n">
        <v>46295</v>
      </c>
      <c r="P5" s="9" t="n">
        <f aca="true">TODAY()-J5</f>
        <v>624</v>
      </c>
      <c r="Q5" s="9" t="n">
        <f aca="true">O5-TODAY()</f>
        <v>21</v>
      </c>
    </row>
    <row r="6" customFormat="false" ht="15" hidden="false" customHeight="false" outlineLevel="0" collapsed="false">
      <c r="A6" s="7" t="s">
        <v>1313</v>
      </c>
      <c r="B6" s="7" t="s">
        <v>577</v>
      </c>
      <c r="C6" s="7" t="s">
        <v>578</v>
      </c>
      <c r="D6" s="7" t="s">
        <v>201</v>
      </c>
      <c r="E6" s="7" t="s">
        <v>94</v>
      </c>
      <c r="F6" s="7" t="s">
        <v>106</v>
      </c>
      <c r="G6" s="7" t="s">
        <v>176</v>
      </c>
      <c r="H6" s="7" t="s">
        <v>177</v>
      </c>
      <c r="I6" s="7" t="s">
        <v>178</v>
      </c>
      <c r="J6" s="8" t="n">
        <v>45653</v>
      </c>
      <c r="K6" s="7" t="s">
        <v>1309</v>
      </c>
      <c r="L6" s="11" t="n">
        <v>0.21</v>
      </c>
      <c r="M6" s="10" t="n">
        <v>112138.61</v>
      </c>
      <c r="N6" s="10" t="n">
        <f aca="false">L6*M6</f>
        <v>23549.1081</v>
      </c>
      <c r="O6" s="8" t="n">
        <v>46344</v>
      </c>
      <c r="P6" s="9" t="n">
        <f aca="true">TODAY()-J6</f>
        <v>621</v>
      </c>
      <c r="Q6" s="9" t="n">
        <f aca="true">O6-TODAY()</f>
        <v>70</v>
      </c>
    </row>
    <row r="7" customFormat="false" ht="15" hidden="false" customHeight="false" outlineLevel="0" collapsed="false">
      <c r="A7" s="7" t="s">
        <v>1314</v>
      </c>
      <c r="B7" s="7" t="s">
        <v>276</v>
      </c>
      <c r="C7" s="7" t="s">
        <v>277</v>
      </c>
      <c r="D7" s="7" t="s">
        <v>114</v>
      </c>
      <c r="E7" s="7" t="s">
        <v>162</v>
      </c>
      <c r="F7" s="7" t="s">
        <v>183</v>
      </c>
      <c r="G7" s="7" t="s">
        <v>107</v>
      </c>
      <c r="H7" s="7" t="s">
        <v>190</v>
      </c>
      <c r="I7" s="7" t="s">
        <v>191</v>
      </c>
      <c r="J7" s="8" t="n">
        <v>45662</v>
      </c>
      <c r="K7" s="7" t="s">
        <v>1306</v>
      </c>
      <c r="L7" s="11" t="n">
        <v>0.12</v>
      </c>
      <c r="M7" s="10" t="n">
        <v>132070.83</v>
      </c>
      <c r="N7" s="10" t="n">
        <f aca="false">L7*M7</f>
        <v>15848.4996</v>
      </c>
      <c r="O7" s="8" t="n">
        <v>46542</v>
      </c>
      <c r="P7" s="9" t="n">
        <f aca="true">TODAY()-J7</f>
        <v>612</v>
      </c>
      <c r="Q7" s="9" t="n">
        <f aca="true">O7-TODAY()</f>
        <v>268</v>
      </c>
    </row>
    <row r="8" customFormat="false" ht="15" hidden="false" customHeight="false" outlineLevel="0" collapsed="false">
      <c r="A8" s="7" t="s">
        <v>1315</v>
      </c>
      <c r="B8" s="7" t="s">
        <v>378</v>
      </c>
      <c r="C8" s="7" t="s">
        <v>379</v>
      </c>
      <c r="D8" s="7" t="s">
        <v>93</v>
      </c>
      <c r="E8" s="7" t="s">
        <v>94</v>
      </c>
      <c r="F8" s="7" t="s">
        <v>116</v>
      </c>
      <c r="G8" s="7" t="s">
        <v>176</v>
      </c>
      <c r="H8" s="7" t="s">
        <v>205</v>
      </c>
      <c r="I8" s="7" t="s">
        <v>206</v>
      </c>
      <c r="J8" s="8" t="n">
        <v>45670</v>
      </c>
      <c r="K8" s="7" t="s">
        <v>1316</v>
      </c>
      <c r="L8" s="11" t="n">
        <v>0.46</v>
      </c>
      <c r="M8" s="10" t="n">
        <v>140344.79</v>
      </c>
      <c r="N8" s="10" t="n">
        <f aca="false">L8*M8</f>
        <v>64558.6034</v>
      </c>
      <c r="O8" s="8" t="n">
        <v>46517</v>
      </c>
      <c r="P8" s="9" t="n">
        <f aca="true">TODAY()-J8</f>
        <v>604</v>
      </c>
      <c r="Q8" s="9" t="n">
        <f aca="true">O8-TODAY()</f>
        <v>243</v>
      </c>
    </row>
    <row r="9" customFormat="false" ht="15" hidden="false" customHeight="false" outlineLevel="0" collapsed="false">
      <c r="A9" s="7" t="s">
        <v>1317</v>
      </c>
      <c r="B9" s="7" t="s">
        <v>437</v>
      </c>
      <c r="C9" s="7" t="s">
        <v>438</v>
      </c>
      <c r="D9" s="7" t="s">
        <v>104</v>
      </c>
      <c r="E9" s="7" t="s">
        <v>94</v>
      </c>
      <c r="F9" s="7" t="s">
        <v>183</v>
      </c>
      <c r="G9" s="7" t="s">
        <v>117</v>
      </c>
      <c r="H9" s="7" t="s">
        <v>177</v>
      </c>
      <c r="I9" s="7" t="s">
        <v>178</v>
      </c>
      <c r="J9" s="8" t="n">
        <v>45679</v>
      </c>
      <c r="K9" s="7" t="s">
        <v>1306</v>
      </c>
      <c r="L9" s="11" t="n">
        <v>0.15</v>
      </c>
      <c r="M9" s="10" t="n">
        <v>49046.36</v>
      </c>
      <c r="N9" s="10" t="n">
        <f aca="false">L9*M9</f>
        <v>7356.954</v>
      </c>
      <c r="O9" s="8" t="n">
        <v>46485</v>
      </c>
      <c r="P9" s="9" t="n">
        <f aca="true">TODAY()-J9</f>
        <v>595</v>
      </c>
      <c r="Q9" s="9" t="n">
        <f aca="true">O9-TODAY()</f>
        <v>211</v>
      </c>
    </row>
    <row r="10" customFormat="false" ht="15" hidden="false" customHeight="false" outlineLevel="0" collapsed="false">
      <c r="A10" s="7" t="s">
        <v>1318</v>
      </c>
      <c r="B10" s="7" t="s">
        <v>616</v>
      </c>
      <c r="C10" s="7" t="s">
        <v>617</v>
      </c>
      <c r="D10" s="7" t="s">
        <v>201</v>
      </c>
      <c r="E10" s="7" t="s">
        <v>105</v>
      </c>
      <c r="F10" s="7" t="s">
        <v>157</v>
      </c>
      <c r="G10" s="7" t="s">
        <v>96</v>
      </c>
      <c r="H10" s="7" t="s">
        <v>281</v>
      </c>
      <c r="I10" s="7" t="s">
        <v>282</v>
      </c>
      <c r="J10" s="8" t="n">
        <v>45691</v>
      </c>
      <c r="K10" s="7" t="s">
        <v>1309</v>
      </c>
      <c r="L10" s="11" t="n">
        <v>0.29</v>
      </c>
      <c r="M10" s="10" t="n">
        <v>75888.87</v>
      </c>
      <c r="N10" s="10" t="n">
        <f aca="false">L10*M10</f>
        <v>22007.7723</v>
      </c>
      <c r="O10" s="8" t="n">
        <v>46452</v>
      </c>
      <c r="P10" s="9" t="n">
        <f aca="true">TODAY()-J10</f>
        <v>583</v>
      </c>
      <c r="Q10" s="9" t="n">
        <f aca="true">O10-TODAY()</f>
        <v>178</v>
      </c>
    </row>
    <row r="11" customFormat="false" ht="15" hidden="false" customHeight="false" outlineLevel="0" collapsed="false">
      <c r="A11" s="7" t="s">
        <v>1319</v>
      </c>
      <c r="B11" s="7" t="s">
        <v>141</v>
      </c>
      <c r="C11" s="7" t="s">
        <v>142</v>
      </c>
      <c r="D11" s="7" t="s">
        <v>104</v>
      </c>
      <c r="E11" s="7" t="s">
        <v>105</v>
      </c>
      <c r="F11" s="7" t="s">
        <v>128</v>
      </c>
      <c r="G11" s="7" t="s">
        <v>176</v>
      </c>
      <c r="H11" s="7" t="s">
        <v>177</v>
      </c>
      <c r="I11" s="7" t="s">
        <v>178</v>
      </c>
      <c r="J11" s="8" t="n">
        <v>45711</v>
      </c>
      <c r="K11" s="7" t="s">
        <v>1320</v>
      </c>
      <c r="L11" s="11" t="n">
        <v>0.7</v>
      </c>
      <c r="M11" s="10" t="n">
        <v>46835.94</v>
      </c>
      <c r="N11" s="10" t="n">
        <f aca="false">L11*M11</f>
        <v>32785.158</v>
      </c>
      <c r="O11" s="8" t="n">
        <v>46515</v>
      </c>
      <c r="P11" s="9" t="n">
        <f aca="true">TODAY()-J11</f>
        <v>563</v>
      </c>
      <c r="Q11" s="9" t="n">
        <f aca="true">O11-TODAY()</f>
        <v>241</v>
      </c>
    </row>
    <row r="12" customFormat="false" ht="15" hidden="false" customHeight="false" outlineLevel="0" collapsed="false">
      <c r="A12" s="7" t="s">
        <v>1321</v>
      </c>
      <c r="B12" s="7" t="s">
        <v>193</v>
      </c>
      <c r="C12" s="7" t="s">
        <v>194</v>
      </c>
      <c r="D12" s="7" t="s">
        <v>195</v>
      </c>
      <c r="E12" s="7" t="s">
        <v>115</v>
      </c>
      <c r="F12" s="7" t="s">
        <v>106</v>
      </c>
      <c r="G12" s="7" t="s">
        <v>107</v>
      </c>
      <c r="H12" s="7" t="s">
        <v>152</v>
      </c>
      <c r="I12" s="7" t="s">
        <v>153</v>
      </c>
      <c r="J12" s="8" t="n">
        <v>45712</v>
      </c>
      <c r="K12" s="7" t="s">
        <v>1309</v>
      </c>
      <c r="L12" s="11" t="n">
        <v>0.23</v>
      </c>
      <c r="M12" s="10" t="n">
        <v>115112.67</v>
      </c>
      <c r="N12" s="10" t="n">
        <f aca="false">L12*M12</f>
        <v>26475.9141</v>
      </c>
      <c r="O12" s="8" t="n">
        <v>46461</v>
      </c>
      <c r="P12" s="9" t="n">
        <f aca="true">TODAY()-J12</f>
        <v>562</v>
      </c>
      <c r="Q12" s="9" t="n">
        <f aca="true">O12-TODAY()</f>
        <v>187</v>
      </c>
    </row>
    <row r="13" customFormat="false" ht="15" hidden="false" customHeight="false" outlineLevel="0" collapsed="false">
      <c r="A13" s="7" t="s">
        <v>1322</v>
      </c>
      <c r="B13" s="7" t="s">
        <v>577</v>
      </c>
      <c r="C13" s="7" t="s">
        <v>578</v>
      </c>
      <c r="D13" s="7" t="s">
        <v>201</v>
      </c>
      <c r="E13" s="7" t="s">
        <v>94</v>
      </c>
      <c r="F13" s="7" t="s">
        <v>106</v>
      </c>
      <c r="G13" s="7" t="s">
        <v>176</v>
      </c>
      <c r="H13" s="7" t="s">
        <v>281</v>
      </c>
      <c r="I13" s="7" t="s">
        <v>282</v>
      </c>
      <c r="J13" s="8" t="n">
        <v>45725</v>
      </c>
      <c r="K13" s="7" t="s">
        <v>1306</v>
      </c>
      <c r="L13" s="11" t="n">
        <v>0.1</v>
      </c>
      <c r="M13" s="10" t="n">
        <v>149250.34</v>
      </c>
      <c r="N13" s="10" t="n">
        <f aca="false">L13*M13</f>
        <v>14925.034</v>
      </c>
      <c r="O13" s="8" t="n">
        <v>46501</v>
      </c>
      <c r="P13" s="9" t="n">
        <f aca="true">TODAY()-J13</f>
        <v>549</v>
      </c>
      <c r="Q13" s="9" t="n">
        <f aca="true">O13-TODAY()</f>
        <v>227</v>
      </c>
    </row>
    <row r="14" customFormat="false" ht="15" hidden="false" customHeight="false" outlineLevel="0" collapsed="false">
      <c r="A14" s="7" t="s">
        <v>1323</v>
      </c>
      <c r="B14" s="7" t="s">
        <v>120</v>
      </c>
      <c r="C14" s="7" t="s">
        <v>121</v>
      </c>
      <c r="D14" s="7" t="s">
        <v>104</v>
      </c>
      <c r="E14" s="7" t="s">
        <v>105</v>
      </c>
      <c r="F14" s="7" t="s">
        <v>143</v>
      </c>
      <c r="G14" s="7" t="s">
        <v>107</v>
      </c>
      <c r="H14" s="7" t="s">
        <v>278</v>
      </c>
      <c r="I14" s="7" t="s">
        <v>279</v>
      </c>
      <c r="J14" s="8" t="n">
        <v>45726</v>
      </c>
      <c r="K14" s="7" t="s">
        <v>1309</v>
      </c>
      <c r="L14" s="11" t="n">
        <v>0.29</v>
      </c>
      <c r="M14" s="10" t="n">
        <v>198932</v>
      </c>
      <c r="N14" s="10" t="n">
        <f aca="false">L14*M14</f>
        <v>57690.28</v>
      </c>
      <c r="O14" s="8" t="n">
        <v>46430</v>
      </c>
      <c r="P14" s="9" t="n">
        <f aca="true">TODAY()-J14</f>
        <v>548</v>
      </c>
      <c r="Q14" s="9" t="n">
        <f aca="true">O14-TODAY()</f>
        <v>156</v>
      </c>
    </row>
    <row r="15" customFormat="false" ht="15" hidden="false" customHeight="false" outlineLevel="0" collapsed="false">
      <c r="A15" s="7" t="s">
        <v>1324</v>
      </c>
      <c r="B15" s="7" t="s">
        <v>199</v>
      </c>
      <c r="C15" s="7" t="s">
        <v>200</v>
      </c>
      <c r="D15" s="7" t="s">
        <v>201</v>
      </c>
      <c r="E15" s="7" t="s">
        <v>94</v>
      </c>
      <c r="F15" s="7" t="s">
        <v>95</v>
      </c>
      <c r="G15" s="7" t="s">
        <v>96</v>
      </c>
      <c r="H15" s="7" t="s">
        <v>281</v>
      </c>
      <c r="I15" s="7" t="s">
        <v>282</v>
      </c>
      <c r="J15" s="8" t="n">
        <v>45738</v>
      </c>
      <c r="K15" s="7" t="s">
        <v>1306</v>
      </c>
      <c r="L15" s="11" t="n">
        <v>0.11</v>
      </c>
      <c r="M15" s="10" t="n">
        <v>72541.42</v>
      </c>
      <c r="N15" s="10" t="n">
        <f aca="false">L15*M15</f>
        <v>7979.5562</v>
      </c>
      <c r="O15" s="8" t="n">
        <v>46466</v>
      </c>
      <c r="P15" s="9" t="n">
        <f aca="true">TODAY()-J15</f>
        <v>536</v>
      </c>
      <c r="Q15" s="9" t="n">
        <f aca="true">O15-TODAY()</f>
        <v>192</v>
      </c>
    </row>
    <row r="16" customFormat="false" ht="15" hidden="false" customHeight="false" outlineLevel="0" collapsed="false">
      <c r="A16" s="7" t="s">
        <v>1325</v>
      </c>
      <c r="B16" s="7" t="s">
        <v>929</v>
      </c>
      <c r="C16" s="7" t="s">
        <v>930</v>
      </c>
      <c r="D16" s="7" t="s">
        <v>151</v>
      </c>
      <c r="E16" s="7" t="s">
        <v>115</v>
      </c>
      <c r="F16" s="7" t="s">
        <v>157</v>
      </c>
      <c r="G16" s="7" t="s">
        <v>144</v>
      </c>
      <c r="H16" s="7" t="s">
        <v>145</v>
      </c>
      <c r="I16" s="7" t="s">
        <v>146</v>
      </c>
      <c r="J16" s="8" t="n">
        <v>45762</v>
      </c>
      <c r="K16" s="7" t="s">
        <v>1316</v>
      </c>
      <c r="L16" s="11" t="n">
        <v>0.46</v>
      </c>
      <c r="M16" s="10" t="n">
        <v>50090.84</v>
      </c>
      <c r="N16" s="10" t="n">
        <f aca="false">L16*M16</f>
        <v>23041.7864</v>
      </c>
      <c r="O16" s="8" t="n">
        <v>46533</v>
      </c>
      <c r="P16" s="9" t="n">
        <f aca="true">TODAY()-J16</f>
        <v>512</v>
      </c>
      <c r="Q16" s="9" t="n">
        <f aca="true">O16-TODAY()</f>
        <v>259</v>
      </c>
    </row>
    <row r="17" customFormat="false" ht="15" hidden="false" customHeight="false" outlineLevel="0" collapsed="false">
      <c r="A17" s="7" t="s">
        <v>1326</v>
      </c>
      <c r="B17" s="7" t="s">
        <v>284</v>
      </c>
      <c r="C17" s="7" t="s">
        <v>285</v>
      </c>
      <c r="D17" s="7" t="s">
        <v>201</v>
      </c>
      <c r="E17" s="7" t="s">
        <v>105</v>
      </c>
      <c r="F17" s="7" t="s">
        <v>183</v>
      </c>
      <c r="G17" s="7" t="s">
        <v>137</v>
      </c>
      <c r="H17" s="7" t="s">
        <v>185</v>
      </c>
      <c r="I17" s="7" t="s">
        <v>186</v>
      </c>
      <c r="J17" s="8" t="n">
        <v>45767</v>
      </c>
      <c r="K17" s="7" t="s">
        <v>1320</v>
      </c>
      <c r="L17" s="11" t="n">
        <v>0.76</v>
      </c>
      <c r="M17" s="10" t="n">
        <v>69159.74</v>
      </c>
      <c r="N17" s="10" t="n">
        <f aca="false">L17*M17</f>
        <v>52561.4024</v>
      </c>
      <c r="O17" s="8" t="n">
        <v>46372</v>
      </c>
      <c r="P17" s="9" t="n">
        <f aca="true">TODAY()-J17</f>
        <v>507</v>
      </c>
      <c r="Q17" s="9" t="n">
        <f aca="true">O17-TODAY()</f>
        <v>98</v>
      </c>
    </row>
    <row r="18" customFormat="false" ht="15" hidden="false" customHeight="false" outlineLevel="0" collapsed="false">
      <c r="A18" s="7" t="s">
        <v>1327</v>
      </c>
      <c r="B18" s="7" t="s">
        <v>1328</v>
      </c>
      <c r="C18" s="7" t="s">
        <v>1329</v>
      </c>
      <c r="D18" s="7" t="s">
        <v>201</v>
      </c>
      <c r="E18" s="7" t="s">
        <v>115</v>
      </c>
      <c r="F18" s="7" t="s">
        <v>183</v>
      </c>
      <c r="G18" s="7" t="s">
        <v>117</v>
      </c>
      <c r="H18" s="7" t="s">
        <v>166</v>
      </c>
      <c r="I18" s="7" t="s">
        <v>167</v>
      </c>
      <c r="J18" s="8" t="n">
        <v>45790</v>
      </c>
      <c r="K18" s="7" t="s">
        <v>1306</v>
      </c>
      <c r="L18" s="11" t="n">
        <v>0.05</v>
      </c>
      <c r="M18" s="10" t="n">
        <v>166090.92</v>
      </c>
      <c r="N18" s="10" t="n">
        <f aca="false">L18*M18</f>
        <v>8304.546</v>
      </c>
      <c r="O18" s="8" t="n">
        <v>46351</v>
      </c>
      <c r="P18" s="9" t="n">
        <f aca="true">TODAY()-J18</f>
        <v>484</v>
      </c>
      <c r="Q18" s="9" t="n">
        <f aca="true">O18-TODAY()</f>
        <v>77</v>
      </c>
    </row>
    <row r="19" customFormat="false" ht="15" hidden="false" customHeight="false" outlineLevel="0" collapsed="false">
      <c r="A19" s="7" t="s">
        <v>1330</v>
      </c>
      <c r="B19" s="7" t="s">
        <v>603</v>
      </c>
      <c r="C19" s="7" t="s">
        <v>604</v>
      </c>
      <c r="D19" s="7" t="s">
        <v>195</v>
      </c>
      <c r="E19" s="7" t="s">
        <v>105</v>
      </c>
      <c r="F19" s="7" t="s">
        <v>106</v>
      </c>
      <c r="G19" s="7" t="s">
        <v>144</v>
      </c>
      <c r="H19" s="7" t="s">
        <v>278</v>
      </c>
      <c r="I19" s="7" t="s">
        <v>279</v>
      </c>
      <c r="J19" s="8" t="n">
        <v>45791</v>
      </c>
      <c r="K19" s="7" t="s">
        <v>1316</v>
      </c>
      <c r="L19" s="11" t="n">
        <v>0.45</v>
      </c>
      <c r="M19" s="10" t="n">
        <v>44217.44</v>
      </c>
      <c r="N19" s="10" t="n">
        <f aca="false">L19*M19</f>
        <v>19897.848</v>
      </c>
      <c r="O19" s="8" t="n">
        <v>46355</v>
      </c>
      <c r="P19" s="9" t="n">
        <f aca="true">TODAY()-J19</f>
        <v>483</v>
      </c>
      <c r="Q19" s="9" t="n">
        <f aca="true">O19-TODAY()</f>
        <v>81</v>
      </c>
    </row>
    <row r="20" customFormat="false" ht="15" hidden="false" customHeight="false" outlineLevel="0" collapsed="false">
      <c r="A20" s="7" t="s">
        <v>1331</v>
      </c>
      <c r="B20" s="7" t="s">
        <v>300</v>
      </c>
      <c r="C20" s="7" t="s">
        <v>301</v>
      </c>
      <c r="D20" s="7" t="s">
        <v>104</v>
      </c>
      <c r="E20" s="7" t="s">
        <v>94</v>
      </c>
      <c r="F20" s="7" t="s">
        <v>157</v>
      </c>
      <c r="G20" s="7" t="s">
        <v>96</v>
      </c>
      <c r="H20" s="7" t="s">
        <v>305</v>
      </c>
      <c r="I20" s="7" t="s">
        <v>306</v>
      </c>
      <c r="J20" s="8" t="n">
        <v>45793</v>
      </c>
      <c r="K20" s="7" t="s">
        <v>1316</v>
      </c>
      <c r="L20" s="11" t="n">
        <v>0.47</v>
      </c>
      <c r="M20" s="10" t="n">
        <v>65958.78</v>
      </c>
      <c r="N20" s="10" t="n">
        <f aca="false">L20*M20</f>
        <v>31000.6266</v>
      </c>
      <c r="O20" s="8" t="n">
        <v>46338</v>
      </c>
      <c r="P20" s="9" t="n">
        <f aca="true">TODAY()-J20</f>
        <v>481</v>
      </c>
      <c r="Q20" s="9" t="n">
        <f aca="true">O20-TODAY()</f>
        <v>64</v>
      </c>
    </row>
    <row r="21" customFormat="false" ht="15" hidden="false" customHeight="false" outlineLevel="0" collapsed="false">
      <c r="A21" s="7" t="s">
        <v>1332</v>
      </c>
      <c r="B21" s="7" t="s">
        <v>747</v>
      </c>
      <c r="C21" s="7" t="s">
        <v>748</v>
      </c>
      <c r="D21" s="7" t="s">
        <v>195</v>
      </c>
      <c r="E21" s="7" t="s">
        <v>105</v>
      </c>
      <c r="F21" s="7" t="s">
        <v>128</v>
      </c>
      <c r="G21" s="7" t="s">
        <v>117</v>
      </c>
      <c r="H21" s="7" t="s">
        <v>305</v>
      </c>
      <c r="I21" s="7" t="s">
        <v>306</v>
      </c>
      <c r="J21" s="8" t="n">
        <v>45802</v>
      </c>
      <c r="K21" s="7" t="s">
        <v>1316</v>
      </c>
      <c r="L21" s="11" t="n">
        <v>0.49</v>
      </c>
      <c r="M21" s="10" t="n">
        <v>75836.75</v>
      </c>
      <c r="N21" s="10" t="n">
        <f aca="false">L21*M21</f>
        <v>37160.0075</v>
      </c>
      <c r="O21" s="8" t="n">
        <v>46512</v>
      </c>
      <c r="P21" s="9" t="n">
        <f aca="true">TODAY()-J21</f>
        <v>472</v>
      </c>
      <c r="Q21" s="9" t="n">
        <f aca="true">O21-TODAY()</f>
        <v>238</v>
      </c>
    </row>
    <row r="22" customFormat="false" ht="15" hidden="false" customHeight="false" outlineLevel="0" collapsed="false">
      <c r="A22" s="7" t="s">
        <v>1333</v>
      </c>
      <c r="B22" s="7" t="s">
        <v>780</v>
      </c>
      <c r="C22" s="7" t="s">
        <v>781</v>
      </c>
      <c r="D22" s="7" t="s">
        <v>114</v>
      </c>
      <c r="E22" s="7" t="s">
        <v>105</v>
      </c>
      <c r="F22" s="7" t="s">
        <v>128</v>
      </c>
      <c r="G22" s="7" t="s">
        <v>184</v>
      </c>
      <c r="H22" s="7" t="s">
        <v>152</v>
      </c>
      <c r="I22" s="7" t="s">
        <v>153</v>
      </c>
      <c r="J22" s="8" t="n">
        <v>45805</v>
      </c>
      <c r="K22" s="7" t="s">
        <v>1306</v>
      </c>
      <c r="L22" s="11" t="n">
        <v>0.03</v>
      </c>
      <c r="M22" s="10" t="n">
        <v>62381.43</v>
      </c>
      <c r="N22" s="10" t="n">
        <f aca="false">L22*M22</f>
        <v>1871.4429</v>
      </c>
      <c r="O22" s="8" t="n">
        <v>46344</v>
      </c>
      <c r="P22" s="9" t="n">
        <f aca="true">TODAY()-J22</f>
        <v>469</v>
      </c>
      <c r="Q22" s="9" t="n">
        <f aca="true">O22-TODAY()</f>
        <v>70</v>
      </c>
    </row>
    <row r="23" customFormat="false" ht="15" hidden="false" customHeight="false" outlineLevel="0" collapsed="false">
      <c r="A23" s="7" t="s">
        <v>1334</v>
      </c>
      <c r="B23" s="7" t="s">
        <v>188</v>
      </c>
      <c r="C23" s="7" t="s">
        <v>189</v>
      </c>
      <c r="D23" s="7" t="s">
        <v>151</v>
      </c>
      <c r="E23" s="7" t="s">
        <v>105</v>
      </c>
      <c r="F23" s="7" t="s">
        <v>183</v>
      </c>
      <c r="G23" s="7" t="s">
        <v>137</v>
      </c>
      <c r="H23" s="7" t="s">
        <v>190</v>
      </c>
      <c r="I23" s="7" t="s">
        <v>191</v>
      </c>
      <c r="J23" s="8" t="n">
        <v>45819</v>
      </c>
      <c r="K23" s="7" t="s">
        <v>1320</v>
      </c>
      <c r="L23" s="11" t="n">
        <v>0.74</v>
      </c>
      <c r="M23" s="10" t="n">
        <v>44902.89</v>
      </c>
      <c r="N23" s="10" t="n">
        <f aca="false">L23*M23</f>
        <v>33228.1386</v>
      </c>
      <c r="O23" s="8" t="n">
        <v>46482</v>
      </c>
      <c r="P23" s="9" t="n">
        <f aca="true">TODAY()-J23</f>
        <v>455</v>
      </c>
      <c r="Q23" s="9" t="n">
        <f aca="true">O23-TODAY()</f>
        <v>208</v>
      </c>
    </row>
    <row r="24" customFormat="false" ht="15" hidden="false" customHeight="false" outlineLevel="0" collapsed="false">
      <c r="A24" s="7" t="s">
        <v>1335</v>
      </c>
      <c r="B24" s="7" t="s">
        <v>517</v>
      </c>
      <c r="C24" s="7" t="s">
        <v>518</v>
      </c>
      <c r="D24" s="7" t="s">
        <v>151</v>
      </c>
      <c r="E24" s="7" t="s">
        <v>115</v>
      </c>
      <c r="F24" s="7" t="s">
        <v>95</v>
      </c>
      <c r="G24" s="7" t="s">
        <v>144</v>
      </c>
      <c r="H24" s="7" t="s">
        <v>213</v>
      </c>
      <c r="I24" s="7" t="s">
        <v>214</v>
      </c>
      <c r="J24" s="8" t="n">
        <v>45827</v>
      </c>
      <c r="K24" s="7" t="s">
        <v>1316</v>
      </c>
      <c r="L24" s="11" t="n">
        <v>0.52</v>
      </c>
      <c r="M24" s="10" t="n">
        <v>78126.92</v>
      </c>
      <c r="N24" s="10" t="n">
        <f aca="false">L24*M24</f>
        <v>40625.9984</v>
      </c>
      <c r="O24" s="8" t="n">
        <v>46349</v>
      </c>
      <c r="P24" s="9" t="n">
        <f aca="true">TODAY()-J24</f>
        <v>447</v>
      </c>
      <c r="Q24" s="9" t="n">
        <f aca="true">O24-TODAY()</f>
        <v>75</v>
      </c>
    </row>
    <row r="25" customFormat="false" ht="15" hidden="false" customHeight="false" outlineLevel="0" collapsed="false">
      <c r="A25" s="7" t="s">
        <v>1336</v>
      </c>
      <c r="B25" s="7" t="s">
        <v>334</v>
      </c>
      <c r="C25" s="7" t="s">
        <v>335</v>
      </c>
      <c r="D25" s="7" t="s">
        <v>242</v>
      </c>
      <c r="E25" s="7" t="s">
        <v>162</v>
      </c>
      <c r="F25" s="7" t="s">
        <v>95</v>
      </c>
      <c r="G25" s="7" t="s">
        <v>176</v>
      </c>
      <c r="H25" s="7" t="s">
        <v>185</v>
      </c>
      <c r="I25" s="7" t="s">
        <v>186</v>
      </c>
      <c r="J25" s="8" t="n">
        <v>45834</v>
      </c>
      <c r="K25" s="7" t="s">
        <v>1306</v>
      </c>
      <c r="L25" s="11" t="n">
        <v>0.13</v>
      </c>
      <c r="M25" s="10" t="n">
        <v>31287.89</v>
      </c>
      <c r="N25" s="10" t="n">
        <f aca="false">L25*M25</f>
        <v>4067.4257</v>
      </c>
      <c r="O25" s="8" t="n">
        <v>46310</v>
      </c>
      <c r="P25" s="9" t="n">
        <f aca="true">TODAY()-J25</f>
        <v>440</v>
      </c>
      <c r="Q25" s="9" t="n">
        <f aca="true">O25-TODAY()</f>
        <v>36</v>
      </c>
    </row>
    <row r="26" customFormat="false" ht="15" hidden="false" customHeight="false" outlineLevel="0" collapsed="false">
      <c r="A26" s="7" t="s">
        <v>1337</v>
      </c>
      <c r="B26" s="7" t="s">
        <v>120</v>
      </c>
      <c r="C26" s="7" t="s">
        <v>121</v>
      </c>
      <c r="D26" s="7" t="s">
        <v>104</v>
      </c>
      <c r="E26" s="7" t="s">
        <v>105</v>
      </c>
      <c r="F26" s="7" t="s">
        <v>116</v>
      </c>
      <c r="G26" s="7" t="s">
        <v>117</v>
      </c>
      <c r="H26" s="7" t="s">
        <v>278</v>
      </c>
      <c r="I26" s="7" t="s">
        <v>279</v>
      </c>
      <c r="J26" s="8" t="n">
        <v>45838</v>
      </c>
      <c r="K26" s="7" t="s">
        <v>1306</v>
      </c>
      <c r="L26" s="11" t="n">
        <v>0.1</v>
      </c>
      <c r="M26" s="10" t="n">
        <v>115196.17</v>
      </c>
      <c r="N26" s="10" t="n">
        <f aca="false">L26*M26</f>
        <v>11519.617</v>
      </c>
      <c r="O26" s="8" t="n">
        <v>46434</v>
      </c>
      <c r="P26" s="9" t="n">
        <f aca="true">TODAY()-J26</f>
        <v>436</v>
      </c>
      <c r="Q26" s="9" t="n">
        <f aca="true">O26-TODAY()</f>
        <v>160</v>
      </c>
    </row>
    <row r="27" customFormat="false" ht="15" hidden="false" customHeight="false" outlineLevel="0" collapsed="false">
      <c r="A27" s="7" t="s">
        <v>1338</v>
      </c>
      <c r="B27" s="7" t="s">
        <v>950</v>
      </c>
      <c r="C27" s="7" t="s">
        <v>951</v>
      </c>
      <c r="D27" s="7" t="s">
        <v>114</v>
      </c>
      <c r="E27" s="7" t="s">
        <v>94</v>
      </c>
      <c r="F27" s="7" t="s">
        <v>128</v>
      </c>
      <c r="G27" s="7" t="s">
        <v>137</v>
      </c>
      <c r="H27" s="7" t="s">
        <v>108</v>
      </c>
      <c r="I27" s="7" t="s">
        <v>109</v>
      </c>
      <c r="J27" s="8" t="n">
        <v>45876</v>
      </c>
      <c r="K27" s="7" t="s">
        <v>1309</v>
      </c>
      <c r="L27" s="11" t="n">
        <v>0.31</v>
      </c>
      <c r="M27" s="10" t="n">
        <v>139763.86</v>
      </c>
      <c r="N27" s="10" t="n">
        <f aca="false">L27*M27</f>
        <v>43326.7966</v>
      </c>
      <c r="O27" s="8" t="n">
        <v>46292</v>
      </c>
      <c r="P27" s="9" t="n">
        <f aca="true">TODAY()-J27</f>
        <v>398</v>
      </c>
      <c r="Q27" s="9" t="n">
        <f aca="true">O27-TODAY()</f>
        <v>18</v>
      </c>
    </row>
    <row r="28" customFormat="false" ht="15" hidden="false" customHeight="false" outlineLevel="0" collapsed="false">
      <c r="A28" s="7" t="s">
        <v>1339</v>
      </c>
      <c r="B28" s="7" t="s">
        <v>203</v>
      </c>
      <c r="C28" s="7" t="s">
        <v>204</v>
      </c>
      <c r="D28" s="7" t="s">
        <v>195</v>
      </c>
      <c r="E28" s="7" t="s">
        <v>94</v>
      </c>
      <c r="F28" s="7" t="s">
        <v>157</v>
      </c>
      <c r="G28" s="7" t="s">
        <v>117</v>
      </c>
      <c r="H28" s="7" t="s">
        <v>258</v>
      </c>
      <c r="I28" s="7" t="s">
        <v>259</v>
      </c>
      <c r="J28" s="8" t="n">
        <v>45880</v>
      </c>
      <c r="K28" s="7" t="s">
        <v>1306</v>
      </c>
      <c r="L28" s="11" t="n">
        <v>0.13</v>
      </c>
      <c r="M28" s="10" t="n">
        <v>175036.3</v>
      </c>
      <c r="N28" s="10" t="n">
        <f aca="false">L28*M28</f>
        <v>22754.719</v>
      </c>
      <c r="O28" s="8" t="n">
        <v>46434</v>
      </c>
      <c r="P28" s="9" t="n">
        <f aca="true">TODAY()-J28</f>
        <v>394</v>
      </c>
      <c r="Q28" s="9" t="n">
        <f aca="true">O28-TODAY()</f>
        <v>160</v>
      </c>
    </row>
    <row r="29" customFormat="false" ht="15" hidden="false" customHeight="false" outlineLevel="0" collapsed="false">
      <c r="A29" s="7" t="s">
        <v>1340</v>
      </c>
      <c r="B29" s="7" t="s">
        <v>250</v>
      </c>
      <c r="C29" s="7" t="s">
        <v>251</v>
      </c>
      <c r="D29" s="7" t="s">
        <v>195</v>
      </c>
      <c r="E29" s="7" t="s">
        <v>105</v>
      </c>
      <c r="F29" s="7" t="s">
        <v>116</v>
      </c>
      <c r="G29" s="7" t="s">
        <v>137</v>
      </c>
      <c r="H29" s="7" t="s">
        <v>171</v>
      </c>
      <c r="I29" s="7" t="s">
        <v>172</v>
      </c>
      <c r="J29" s="8" t="n">
        <v>45899</v>
      </c>
      <c r="K29" s="7" t="s">
        <v>1320</v>
      </c>
      <c r="L29" s="11" t="n">
        <v>0.75</v>
      </c>
      <c r="M29" s="10" t="n">
        <v>187198.48</v>
      </c>
      <c r="N29" s="10" t="n">
        <f aca="false">L29*M29</f>
        <v>140398.86</v>
      </c>
      <c r="O29" s="8" t="n">
        <v>46428</v>
      </c>
      <c r="P29" s="9" t="n">
        <f aca="true">TODAY()-J29</f>
        <v>375</v>
      </c>
      <c r="Q29" s="9" t="n">
        <f aca="true">O29-TODAY()</f>
        <v>154</v>
      </c>
    </row>
    <row r="30" customFormat="false" ht="15" hidden="false" customHeight="false" outlineLevel="0" collapsed="false">
      <c r="A30" s="7" t="s">
        <v>1341</v>
      </c>
      <c r="B30" s="7" t="s">
        <v>919</v>
      </c>
      <c r="C30" s="7" t="s">
        <v>920</v>
      </c>
      <c r="D30" s="7" t="s">
        <v>114</v>
      </c>
      <c r="E30" s="7" t="s">
        <v>94</v>
      </c>
      <c r="F30" s="7" t="s">
        <v>183</v>
      </c>
      <c r="G30" s="7" t="s">
        <v>107</v>
      </c>
      <c r="H30" s="7" t="s">
        <v>108</v>
      </c>
      <c r="I30" s="7" t="s">
        <v>109</v>
      </c>
      <c r="J30" s="8" t="n">
        <v>45902</v>
      </c>
      <c r="K30" s="7" t="s">
        <v>1320</v>
      </c>
      <c r="L30" s="11" t="n">
        <v>0.71</v>
      </c>
      <c r="M30" s="10" t="n">
        <v>154513.65</v>
      </c>
      <c r="N30" s="10" t="n">
        <f aca="false">L30*M30</f>
        <v>109704.6915</v>
      </c>
      <c r="O30" s="8" t="n">
        <v>46540</v>
      </c>
      <c r="P30" s="9" t="n">
        <f aca="true">TODAY()-J30</f>
        <v>372</v>
      </c>
      <c r="Q30" s="9" t="n">
        <f aca="true">O30-TODAY()</f>
        <v>266</v>
      </c>
    </row>
    <row r="31" customFormat="false" ht="15" hidden="false" customHeight="false" outlineLevel="0" collapsed="false">
      <c r="A31" s="7" t="s">
        <v>1342</v>
      </c>
      <c r="B31" s="7" t="s">
        <v>256</v>
      </c>
      <c r="C31" s="7" t="s">
        <v>257</v>
      </c>
      <c r="D31" s="7" t="s">
        <v>135</v>
      </c>
      <c r="E31" s="7" t="s">
        <v>162</v>
      </c>
      <c r="F31" s="7" t="s">
        <v>157</v>
      </c>
      <c r="G31" s="7" t="s">
        <v>107</v>
      </c>
      <c r="H31" s="7" t="s">
        <v>185</v>
      </c>
      <c r="I31" s="7" t="s">
        <v>186</v>
      </c>
      <c r="J31" s="8" t="n">
        <v>45905</v>
      </c>
      <c r="K31" s="7" t="s">
        <v>1309</v>
      </c>
      <c r="L31" s="11" t="n">
        <v>0.26</v>
      </c>
      <c r="M31" s="10" t="n">
        <v>56357.39</v>
      </c>
      <c r="N31" s="10" t="n">
        <f aca="false">L31*M31</f>
        <v>14652.9214</v>
      </c>
      <c r="O31" s="8" t="n">
        <v>46464</v>
      </c>
      <c r="P31" s="9" t="n">
        <f aca="true">TODAY()-J31</f>
        <v>369</v>
      </c>
      <c r="Q31" s="9" t="n">
        <f aca="true">O31-TODAY()</f>
        <v>190</v>
      </c>
    </row>
    <row r="32" customFormat="false" ht="15" hidden="false" customHeight="false" outlineLevel="0" collapsed="false">
      <c r="A32" s="7" t="s">
        <v>1343</v>
      </c>
      <c r="B32" s="7" t="s">
        <v>276</v>
      </c>
      <c r="C32" s="7" t="s">
        <v>277</v>
      </c>
      <c r="D32" s="7" t="s">
        <v>114</v>
      </c>
      <c r="E32" s="7" t="s">
        <v>162</v>
      </c>
      <c r="F32" s="7" t="s">
        <v>95</v>
      </c>
      <c r="G32" s="7" t="s">
        <v>96</v>
      </c>
      <c r="H32" s="7" t="s">
        <v>231</v>
      </c>
      <c r="I32" s="7" t="s">
        <v>232</v>
      </c>
      <c r="J32" s="8" t="n">
        <v>45911</v>
      </c>
      <c r="K32" s="7" t="s">
        <v>1320</v>
      </c>
      <c r="L32" s="11" t="n">
        <v>0.71</v>
      </c>
      <c r="M32" s="10" t="n">
        <v>101527.85</v>
      </c>
      <c r="N32" s="10" t="n">
        <f aca="false">L32*M32</f>
        <v>72084.7735</v>
      </c>
      <c r="O32" s="8" t="n">
        <v>46300</v>
      </c>
      <c r="P32" s="9" t="n">
        <f aca="true">TODAY()-J32</f>
        <v>363</v>
      </c>
      <c r="Q32" s="9" t="n">
        <f aca="true">O32-TODAY()</f>
        <v>26</v>
      </c>
    </row>
    <row r="33" customFormat="false" ht="15" hidden="false" customHeight="false" outlineLevel="0" collapsed="false">
      <c r="A33" s="7" t="s">
        <v>1344</v>
      </c>
      <c r="B33" s="7" t="s">
        <v>674</v>
      </c>
      <c r="C33" s="7" t="s">
        <v>675</v>
      </c>
      <c r="D33" s="7" t="s">
        <v>151</v>
      </c>
      <c r="E33" s="7" t="s">
        <v>105</v>
      </c>
      <c r="F33" s="7" t="s">
        <v>95</v>
      </c>
      <c r="G33" s="7" t="s">
        <v>107</v>
      </c>
      <c r="H33" s="7" t="s">
        <v>223</v>
      </c>
      <c r="I33" s="7" t="s">
        <v>224</v>
      </c>
      <c r="J33" s="8" t="n">
        <v>45915</v>
      </c>
      <c r="K33" s="7" t="s">
        <v>1309</v>
      </c>
      <c r="L33" s="11" t="n">
        <v>0.28</v>
      </c>
      <c r="M33" s="10" t="n">
        <v>147060.02</v>
      </c>
      <c r="N33" s="10" t="n">
        <f aca="false">L33*M33</f>
        <v>41176.8056</v>
      </c>
      <c r="O33" s="8" t="n">
        <v>46321</v>
      </c>
      <c r="P33" s="9" t="n">
        <f aca="true">TODAY()-J33</f>
        <v>359</v>
      </c>
      <c r="Q33" s="9" t="n">
        <f aca="true">O33-TODAY()</f>
        <v>47</v>
      </c>
    </row>
    <row r="34" customFormat="false" ht="15" hidden="false" customHeight="false" outlineLevel="0" collapsed="false">
      <c r="A34" s="7" t="s">
        <v>1345</v>
      </c>
      <c r="B34" s="7" t="s">
        <v>443</v>
      </c>
      <c r="C34" s="7" t="s">
        <v>444</v>
      </c>
      <c r="D34" s="7" t="s">
        <v>201</v>
      </c>
      <c r="E34" s="7" t="s">
        <v>105</v>
      </c>
      <c r="F34" s="7" t="s">
        <v>183</v>
      </c>
      <c r="G34" s="7" t="s">
        <v>96</v>
      </c>
      <c r="H34" s="7" t="s">
        <v>258</v>
      </c>
      <c r="I34" s="7" t="s">
        <v>259</v>
      </c>
      <c r="J34" s="8" t="n">
        <v>45919</v>
      </c>
      <c r="K34" s="7" t="s">
        <v>1306</v>
      </c>
      <c r="L34" s="11" t="n">
        <v>0.04</v>
      </c>
      <c r="M34" s="10" t="n">
        <v>55829.65</v>
      </c>
      <c r="N34" s="10" t="n">
        <f aca="false">L34*M34</f>
        <v>2233.186</v>
      </c>
      <c r="O34" s="8" t="n">
        <v>46370</v>
      </c>
      <c r="P34" s="9" t="n">
        <f aca="true">TODAY()-J34</f>
        <v>355</v>
      </c>
      <c r="Q34" s="9" t="n">
        <f aca="true">O34-TODAY()</f>
        <v>96</v>
      </c>
    </row>
    <row r="35" customFormat="false" ht="15" hidden="false" customHeight="false" outlineLevel="0" collapsed="false">
      <c r="A35" s="7" t="s">
        <v>1346</v>
      </c>
      <c r="B35" s="7" t="s">
        <v>509</v>
      </c>
      <c r="C35" s="7" t="s">
        <v>510</v>
      </c>
      <c r="D35" s="7" t="s">
        <v>104</v>
      </c>
      <c r="E35" s="7" t="s">
        <v>162</v>
      </c>
      <c r="F35" s="7" t="s">
        <v>95</v>
      </c>
      <c r="G35" s="7" t="s">
        <v>184</v>
      </c>
      <c r="H35" s="7" t="s">
        <v>97</v>
      </c>
      <c r="I35" s="7" t="s">
        <v>98</v>
      </c>
      <c r="J35" s="8" t="n">
        <v>45920</v>
      </c>
      <c r="K35" s="7" t="s">
        <v>1306</v>
      </c>
      <c r="L35" s="11" t="n">
        <v>0.08</v>
      </c>
      <c r="M35" s="10" t="n">
        <v>312760.83</v>
      </c>
      <c r="N35" s="10" t="n">
        <f aca="false">L35*M35</f>
        <v>25020.8664</v>
      </c>
      <c r="O35" s="8" t="n">
        <v>46325</v>
      </c>
      <c r="P35" s="9" t="n">
        <f aca="true">TODAY()-J35</f>
        <v>354</v>
      </c>
      <c r="Q35" s="9" t="n">
        <f aca="true">O35-TODAY()</f>
        <v>51</v>
      </c>
    </row>
    <row r="36" customFormat="false" ht="15" hidden="false" customHeight="false" outlineLevel="0" collapsed="false">
      <c r="A36" s="7" t="s">
        <v>1347</v>
      </c>
      <c r="B36" s="7" t="s">
        <v>303</v>
      </c>
      <c r="C36" s="7" t="s">
        <v>304</v>
      </c>
      <c r="D36" s="7" t="s">
        <v>93</v>
      </c>
      <c r="E36" s="7" t="s">
        <v>115</v>
      </c>
      <c r="F36" s="7" t="s">
        <v>183</v>
      </c>
      <c r="G36" s="7" t="s">
        <v>117</v>
      </c>
      <c r="H36" s="7" t="s">
        <v>185</v>
      </c>
      <c r="I36" s="7" t="s">
        <v>186</v>
      </c>
      <c r="J36" s="8" t="n">
        <v>45928</v>
      </c>
      <c r="K36" s="7" t="s">
        <v>1306</v>
      </c>
      <c r="L36" s="11" t="n">
        <v>0.13</v>
      </c>
      <c r="M36" s="10" t="n">
        <v>104279.48</v>
      </c>
      <c r="N36" s="10" t="n">
        <f aca="false">L36*M36</f>
        <v>13556.3324</v>
      </c>
      <c r="O36" s="8" t="n">
        <v>46388</v>
      </c>
      <c r="P36" s="9" t="n">
        <f aca="true">TODAY()-J36</f>
        <v>346</v>
      </c>
      <c r="Q36" s="9" t="n">
        <f aca="true">O36-TODAY()</f>
        <v>114</v>
      </c>
    </row>
    <row r="37" customFormat="false" ht="15" hidden="false" customHeight="false" outlineLevel="0" collapsed="false">
      <c r="A37" s="7" t="s">
        <v>1348</v>
      </c>
      <c r="B37" s="7" t="s">
        <v>221</v>
      </c>
      <c r="C37" s="7" t="s">
        <v>222</v>
      </c>
      <c r="D37" s="7" t="s">
        <v>135</v>
      </c>
      <c r="E37" s="7" t="s">
        <v>162</v>
      </c>
      <c r="F37" s="7" t="s">
        <v>157</v>
      </c>
      <c r="G37" s="7" t="s">
        <v>96</v>
      </c>
      <c r="H37" s="7" t="s">
        <v>196</v>
      </c>
      <c r="I37" s="7" t="s">
        <v>197</v>
      </c>
      <c r="J37" s="8" t="n">
        <v>45932</v>
      </c>
      <c r="K37" s="7" t="s">
        <v>1309</v>
      </c>
      <c r="L37" s="11" t="n">
        <v>0.27</v>
      </c>
      <c r="M37" s="10" t="n">
        <v>112661.59</v>
      </c>
      <c r="N37" s="10" t="n">
        <f aca="false">L37*M37</f>
        <v>30418.6293</v>
      </c>
      <c r="O37" s="8" t="n">
        <v>46523</v>
      </c>
      <c r="P37" s="9" t="n">
        <f aca="true">TODAY()-J37</f>
        <v>342</v>
      </c>
      <c r="Q37" s="9" t="n">
        <f aca="true">O37-TODAY()</f>
        <v>249</v>
      </c>
    </row>
    <row r="38" customFormat="false" ht="15" hidden="false" customHeight="false" outlineLevel="0" collapsed="false">
      <c r="A38" s="7" t="s">
        <v>1349</v>
      </c>
      <c r="B38" s="7" t="s">
        <v>1350</v>
      </c>
      <c r="C38" s="7" t="s">
        <v>1351</v>
      </c>
      <c r="D38" s="7" t="s">
        <v>242</v>
      </c>
      <c r="E38" s="7" t="s">
        <v>115</v>
      </c>
      <c r="F38" s="7" t="s">
        <v>95</v>
      </c>
      <c r="G38" s="7" t="s">
        <v>184</v>
      </c>
      <c r="H38" s="7" t="s">
        <v>190</v>
      </c>
      <c r="I38" s="7" t="s">
        <v>191</v>
      </c>
      <c r="J38" s="8" t="n">
        <v>45939</v>
      </c>
      <c r="K38" s="7" t="s">
        <v>1309</v>
      </c>
      <c r="L38" s="11" t="n">
        <v>0.28</v>
      </c>
      <c r="M38" s="10" t="n">
        <v>27086</v>
      </c>
      <c r="N38" s="10" t="n">
        <f aca="false">L38*M38</f>
        <v>7584.08</v>
      </c>
      <c r="O38" s="8" t="n">
        <v>46531</v>
      </c>
      <c r="P38" s="9" t="n">
        <f aca="true">TODAY()-J38</f>
        <v>335</v>
      </c>
      <c r="Q38" s="9" t="n">
        <f aca="true">O38-TODAY()</f>
        <v>257</v>
      </c>
    </row>
    <row r="39" customFormat="false" ht="15" hidden="false" customHeight="false" outlineLevel="0" collapsed="false">
      <c r="A39" s="7" t="s">
        <v>1352</v>
      </c>
      <c r="B39" s="7" t="s">
        <v>521</v>
      </c>
      <c r="C39" s="7" t="s">
        <v>522</v>
      </c>
      <c r="D39" s="7" t="s">
        <v>151</v>
      </c>
      <c r="E39" s="7" t="s">
        <v>115</v>
      </c>
      <c r="F39" s="7" t="s">
        <v>106</v>
      </c>
      <c r="G39" s="7" t="s">
        <v>107</v>
      </c>
      <c r="H39" s="7" t="s">
        <v>231</v>
      </c>
      <c r="I39" s="7" t="s">
        <v>232</v>
      </c>
      <c r="J39" s="8" t="n">
        <v>45943</v>
      </c>
      <c r="K39" s="7" t="s">
        <v>1316</v>
      </c>
      <c r="L39" s="11" t="n">
        <v>0.45</v>
      </c>
      <c r="M39" s="10" t="n">
        <v>110500.12</v>
      </c>
      <c r="N39" s="10" t="n">
        <f aca="false">L39*M39</f>
        <v>49725.054</v>
      </c>
      <c r="O39" s="8" t="n">
        <v>46439</v>
      </c>
      <c r="P39" s="9" t="n">
        <f aca="true">TODAY()-J39</f>
        <v>331</v>
      </c>
      <c r="Q39" s="9" t="n">
        <f aca="true">O39-TODAY()</f>
        <v>165</v>
      </c>
    </row>
    <row r="40" customFormat="false" ht="15" hidden="false" customHeight="false" outlineLevel="0" collapsed="false">
      <c r="A40" s="7" t="s">
        <v>1353</v>
      </c>
      <c r="B40" s="7" t="s">
        <v>886</v>
      </c>
      <c r="C40" s="7" t="s">
        <v>887</v>
      </c>
      <c r="D40" s="7" t="s">
        <v>104</v>
      </c>
      <c r="E40" s="7" t="s">
        <v>115</v>
      </c>
      <c r="F40" s="7" t="s">
        <v>143</v>
      </c>
      <c r="G40" s="7" t="s">
        <v>107</v>
      </c>
      <c r="H40" s="7" t="s">
        <v>278</v>
      </c>
      <c r="I40" s="7" t="s">
        <v>279</v>
      </c>
      <c r="J40" s="8" t="n">
        <v>45946</v>
      </c>
      <c r="K40" s="7" t="s">
        <v>1306</v>
      </c>
      <c r="L40" s="11" t="n">
        <v>0.09</v>
      </c>
      <c r="M40" s="10" t="n">
        <v>153049.2</v>
      </c>
      <c r="N40" s="10" t="n">
        <f aca="false">L40*M40</f>
        <v>13774.428</v>
      </c>
      <c r="O40" s="8" t="n">
        <v>46293</v>
      </c>
      <c r="P40" s="9" t="n">
        <f aca="true">TODAY()-J40</f>
        <v>328</v>
      </c>
      <c r="Q40" s="9" t="n">
        <f aca="true">O40-TODAY()</f>
        <v>19</v>
      </c>
    </row>
    <row r="41" customFormat="false" ht="15" hidden="false" customHeight="false" outlineLevel="0" collapsed="false">
      <c r="A41" s="7" t="s">
        <v>1354</v>
      </c>
      <c r="B41" s="7" t="s">
        <v>318</v>
      </c>
      <c r="C41" s="7" t="s">
        <v>319</v>
      </c>
      <c r="D41" s="7" t="s">
        <v>114</v>
      </c>
      <c r="E41" s="7" t="s">
        <v>94</v>
      </c>
      <c r="F41" s="7" t="s">
        <v>116</v>
      </c>
      <c r="G41" s="7" t="s">
        <v>107</v>
      </c>
      <c r="H41" s="7" t="s">
        <v>278</v>
      </c>
      <c r="I41" s="7" t="s">
        <v>279</v>
      </c>
      <c r="J41" s="8" t="n">
        <v>45946</v>
      </c>
      <c r="K41" s="7" t="s">
        <v>1316</v>
      </c>
      <c r="L41" s="11" t="n">
        <v>0.52</v>
      </c>
      <c r="M41" s="10" t="n">
        <v>84906.22</v>
      </c>
      <c r="N41" s="10" t="n">
        <f aca="false">L41*M41</f>
        <v>44151.2344</v>
      </c>
      <c r="O41" s="8" t="n">
        <v>46502</v>
      </c>
      <c r="P41" s="9" t="n">
        <f aca="true">TODAY()-J41</f>
        <v>328</v>
      </c>
      <c r="Q41" s="9" t="n">
        <f aca="true">O41-TODAY()</f>
        <v>228</v>
      </c>
    </row>
    <row r="42" customFormat="false" ht="15" hidden="false" customHeight="false" outlineLevel="0" collapsed="false">
      <c r="A42" s="7" t="s">
        <v>1355</v>
      </c>
      <c r="B42" s="7" t="s">
        <v>211</v>
      </c>
      <c r="C42" s="7" t="s">
        <v>212</v>
      </c>
      <c r="D42" s="7" t="s">
        <v>201</v>
      </c>
      <c r="E42" s="7" t="s">
        <v>105</v>
      </c>
      <c r="F42" s="7" t="s">
        <v>143</v>
      </c>
      <c r="G42" s="7" t="s">
        <v>184</v>
      </c>
      <c r="H42" s="7" t="s">
        <v>138</v>
      </c>
      <c r="I42" s="7" t="s">
        <v>139</v>
      </c>
      <c r="J42" s="8" t="n">
        <v>45948</v>
      </c>
      <c r="K42" s="7" t="s">
        <v>1306</v>
      </c>
      <c r="L42" s="11" t="n">
        <v>0.09</v>
      </c>
      <c r="M42" s="10" t="n">
        <v>74256.23</v>
      </c>
      <c r="N42" s="10" t="n">
        <f aca="false">L42*M42</f>
        <v>6683.0607</v>
      </c>
      <c r="O42" s="8" t="n">
        <v>46474</v>
      </c>
      <c r="P42" s="9" t="n">
        <f aca="true">TODAY()-J42</f>
        <v>326</v>
      </c>
      <c r="Q42" s="9" t="n">
        <f aca="true">O42-TODAY()</f>
        <v>200</v>
      </c>
    </row>
    <row r="43" customFormat="false" ht="15" hidden="false" customHeight="false" outlineLevel="0" collapsed="false">
      <c r="A43" s="7" t="s">
        <v>1356</v>
      </c>
      <c r="B43" s="7" t="s">
        <v>193</v>
      </c>
      <c r="C43" s="7" t="s">
        <v>194</v>
      </c>
      <c r="D43" s="7" t="s">
        <v>195</v>
      </c>
      <c r="E43" s="7" t="s">
        <v>115</v>
      </c>
      <c r="F43" s="7" t="s">
        <v>128</v>
      </c>
      <c r="G43" s="7" t="s">
        <v>96</v>
      </c>
      <c r="H43" s="7" t="s">
        <v>145</v>
      </c>
      <c r="I43" s="7" t="s">
        <v>146</v>
      </c>
      <c r="J43" s="8" t="n">
        <v>45950</v>
      </c>
      <c r="K43" s="7" t="s">
        <v>1306</v>
      </c>
      <c r="L43" s="11" t="n">
        <v>0.03</v>
      </c>
      <c r="M43" s="10" t="n">
        <v>78730.54</v>
      </c>
      <c r="N43" s="10" t="n">
        <f aca="false">L43*M43</f>
        <v>2361.9162</v>
      </c>
      <c r="O43" s="8" t="n">
        <v>46517</v>
      </c>
      <c r="P43" s="9" t="n">
        <f aca="true">TODAY()-J43</f>
        <v>324</v>
      </c>
      <c r="Q43" s="9" t="n">
        <f aca="true">O43-TODAY()</f>
        <v>243</v>
      </c>
    </row>
    <row r="44" customFormat="false" ht="15" hidden="false" customHeight="false" outlineLevel="0" collapsed="false">
      <c r="A44" s="7" t="s">
        <v>1357</v>
      </c>
      <c r="B44" s="7" t="s">
        <v>1358</v>
      </c>
      <c r="C44" s="7" t="s">
        <v>1359</v>
      </c>
      <c r="D44" s="7" t="s">
        <v>135</v>
      </c>
      <c r="E44" s="7" t="s">
        <v>94</v>
      </c>
      <c r="F44" s="7" t="s">
        <v>157</v>
      </c>
      <c r="G44" s="7" t="s">
        <v>137</v>
      </c>
      <c r="H44" s="7" t="s">
        <v>171</v>
      </c>
      <c r="I44" s="7" t="s">
        <v>172</v>
      </c>
      <c r="J44" s="8" t="n">
        <v>45956</v>
      </c>
      <c r="K44" s="7" t="s">
        <v>1309</v>
      </c>
      <c r="L44" s="11" t="n">
        <v>0.29</v>
      </c>
      <c r="M44" s="10" t="n">
        <v>76841.64</v>
      </c>
      <c r="N44" s="10" t="n">
        <f aca="false">L44*M44</f>
        <v>22284.0756</v>
      </c>
      <c r="O44" s="8" t="n">
        <v>46528</v>
      </c>
      <c r="P44" s="9" t="n">
        <f aca="true">TODAY()-J44</f>
        <v>318</v>
      </c>
      <c r="Q44" s="9" t="n">
        <f aca="true">O44-TODAY()</f>
        <v>254</v>
      </c>
    </row>
    <row r="45" customFormat="false" ht="15" hidden="false" customHeight="false" outlineLevel="0" collapsed="false">
      <c r="A45" s="7" t="s">
        <v>1360</v>
      </c>
      <c r="B45" s="7" t="s">
        <v>490</v>
      </c>
      <c r="C45" s="7" t="s">
        <v>491</v>
      </c>
      <c r="D45" s="7" t="s">
        <v>195</v>
      </c>
      <c r="E45" s="7" t="s">
        <v>162</v>
      </c>
      <c r="F45" s="7" t="s">
        <v>128</v>
      </c>
      <c r="G45" s="7" t="s">
        <v>184</v>
      </c>
      <c r="H45" s="7" t="s">
        <v>270</v>
      </c>
      <c r="I45" s="7" t="s">
        <v>271</v>
      </c>
      <c r="J45" s="8" t="n">
        <v>45956</v>
      </c>
      <c r="K45" s="7" t="s">
        <v>1316</v>
      </c>
      <c r="L45" s="11" t="n">
        <v>0.52</v>
      </c>
      <c r="M45" s="10" t="n">
        <v>88765.99</v>
      </c>
      <c r="N45" s="10" t="n">
        <f aca="false">L45*M45</f>
        <v>46158.3148</v>
      </c>
      <c r="O45" s="8" t="n">
        <v>46518</v>
      </c>
      <c r="P45" s="9" t="n">
        <f aca="true">TODAY()-J45</f>
        <v>318</v>
      </c>
      <c r="Q45" s="9" t="n">
        <f aca="true">O45-TODAY()</f>
        <v>244</v>
      </c>
    </row>
    <row r="46" customFormat="false" ht="15" hidden="false" customHeight="false" outlineLevel="0" collapsed="false">
      <c r="A46" s="7" t="s">
        <v>1361</v>
      </c>
      <c r="B46" s="7" t="s">
        <v>343</v>
      </c>
      <c r="C46" s="7" t="s">
        <v>344</v>
      </c>
      <c r="D46" s="7" t="s">
        <v>93</v>
      </c>
      <c r="E46" s="7" t="s">
        <v>94</v>
      </c>
      <c r="F46" s="7" t="s">
        <v>95</v>
      </c>
      <c r="G46" s="7" t="s">
        <v>107</v>
      </c>
      <c r="H46" s="7" t="s">
        <v>129</v>
      </c>
      <c r="I46" s="7" t="s">
        <v>130</v>
      </c>
      <c r="J46" s="8" t="n">
        <v>45959</v>
      </c>
      <c r="K46" s="7" t="s">
        <v>1306</v>
      </c>
      <c r="L46" s="11" t="n">
        <v>0.12</v>
      </c>
      <c r="M46" s="10" t="n">
        <v>81135.17</v>
      </c>
      <c r="N46" s="10" t="n">
        <f aca="false">L46*M46</f>
        <v>9736.2204</v>
      </c>
      <c r="O46" s="8" t="n">
        <v>46475</v>
      </c>
      <c r="P46" s="9" t="n">
        <f aca="true">TODAY()-J46</f>
        <v>315</v>
      </c>
      <c r="Q46" s="9" t="n">
        <f aca="true">O46-TODAY()</f>
        <v>201</v>
      </c>
    </row>
    <row r="47" customFormat="false" ht="15" hidden="false" customHeight="false" outlineLevel="0" collapsed="false">
      <c r="A47" s="7" t="s">
        <v>1362</v>
      </c>
      <c r="B47" s="7" t="s">
        <v>546</v>
      </c>
      <c r="C47" s="7" t="s">
        <v>547</v>
      </c>
      <c r="D47" s="7" t="s">
        <v>201</v>
      </c>
      <c r="E47" s="7" t="s">
        <v>105</v>
      </c>
      <c r="F47" s="7" t="s">
        <v>116</v>
      </c>
      <c r="G47" s="7" t="s">
        <v>176</v>
      </c>
      <c r="H47" s="7" t="s">
        <v>177</v>
      </c>
      <c r="I47" s="7" t="s">
        <v>178</v>
      </c>
      <c r="J47" s="8" t="n">
        <v>45967</v>
      </c>
      <c r="K47" s="7" t="s">
        <v>1320</v>
      </c>
      <c r="L47" s="11" t="n">
        <v>0.77</v>
      </c>
      <c r="M47" s="10" t="n">
        <v>72441.99</v>
      </c>
      <c r="N47" s="10" t="n">
        <f aca="false">L47*M47</f>
        <v>55780.3323</v>
      </c>
      <c r="O47" s="8" t="n">
        <v>46548</v>
      </c>
      <c r="P47" s="9" t="n">
        <f aca="true">TODAY()-J47</f>
        <v>307</v>
      </c>
      <c r="Q47" s="9" t="n">
        <f aca="true">O47-TODAY()</f>
        <v>274</v>
      </c>
    </row>
    <row r="48" customFormat="false" ht="15" hidden="false" customHeight="false" outlineLevel="0" collapsed="false">
      <c r="A48" s="7" t="s">
        <v>1363</v>
      </c>
      <c r="B48" s="7" t="s">
        <v>244</v>
      </c>
      <c r="C48" s="7" t="s">
        <v>245</v>
      </c>
      <c r="D48" s="7" t="s">
        <v>135</v>
      </c>
      <c r="E48" s="7" t="s">
        <v>162</v>
      </c>
      <c r="F48" s="7" t="s">
        <v>116</v>
      </c>
      <c r="G48" s="7" t="s">
        <v>137</v>
      </c>
      <c r="H48" s="7" t="s">
        <v>278</v>
      </c>
      <c r="I48" s="7" t="s">
        <v>279</v>
      </c>
      <c r="J48" s="8" t="n">
        <v>45967</v>
      </c>
      <c r="K48" s="7" t="s">
        <v>1309</v>
      </c>
      <c r="L48" s="11" t="n">
        <v>0.23</v>
      </c>
      <c r="M48" s="10" t="n">
        <v>270192.66</v>
      </c>
      <c r="N48" s="10" t="n">
        <f aca="false">L48*M48</f>
        <v>62144.3118</v>
      </c>
      <c r="O48" s="8" t="n">
        <v>46408</v>
      </c>
      <c r="P48" s="9" t="n">
        <f aca="true">TODAY()-J48</f>
        <v>307</v>
      </c>
      <c r="Q48" s="9" t="n">
        <f aca="true">O48-TODAY()</f>
        <v>134</v>
      </c>
    </row>
    <row r="49" customFormat="false" ht="15" hidden="false" customHeight="false" outlineLevel="0" collapsed="false">
      <c r="A49" s="7" t="s">
        <v>1364</v>
      </c>
      <c r="B49" s="7" t="s">
        <v>297</v>
      </c>
      <c r="C49" s="7" t="s">
        <v>298</v>
      </c>
      <c r="D49" s="7" t="s">
        <v>201</v>
      </c>
      <c r="E49" s="7" t="s">
        <v>162</v>
      </c>
      <c r="F49" s="7" t="s">
        <v>136</v>
      </c>
      <c r="G49" s="7" t="s">
        <v>176</v>
      </c>
      <c r="H49" s="7" t="s">
        <v>205</v>
      </c>
      <c r="I49" s="7" t="s">
        <v>206</v>
      </c>
      <c r="J49" s="8" t="n">
        <v>45977</v>
      </c>
      <c r="K49" s="7" t="s">
        <v>1306</v>
      </c>
      <c r="L49" s="11" t="n">
        <v>0.08</v>
      </c>
      <c r="M49" s="10" t="n">
        <v>58204.06</v>
      </c>
      <c r="N49" s="10" t="n">
        <f aca="false">L49*M49</f>
        <v>4656.3248</v>
      </c>
      <c r="O49" s="8" t="n">
        <v>46521</v>
      </c>
      <c r="P49" s="9" t="n">
        <f aca="true">TODAY()-J49</f>
        <v>297</v>
      </c>
      <c r="Q49" s="9" t="n">
        <f aca="true">O49-TODAY()</f>
        <v>247</v>
      </c>
    </row>
    <row r="50" customFormat="false" ht="15" hidden="false" customHeight="false" outlineLevel="0" collapsed="false">
      <c r="A50" s="7" t="s">
        <v>1365</v>
      </c>
      <c r="B50" s="7" t="s">
        <v>324</v>
      </c>
      <c r="C50" s="7" t="s">
        <v>325</v>
      </c>
      <c r="D50" s="7" t="s">
        <v>195</v>
      </c>
      <c r="E50" s="7" t="s">
        <v>94</v>
      </c>
      <c r="F50" s="7" t="s">
        <v>95</v>
      </c>
      <c r="G50" s="7" t="s">
        <v>184</v>
      </c>
      <c r="H50" s="7" t="s">
        <v>223</v>
      </c>
      <c r="I50" s="7" t="s">
        <v>224</v>
      </c>
      <c r="J50" s="8" t="n">
        <v>45984</v>
      </c>
      <c r="K50" s="7" t="s">
        <v>1306</v>
      </c>
      <c r="L50" s="11" t="n">
        <v>0.12</v>
      </c>
      <c r="M50" s="10" t="n">
        <v>61542.94</v>
      </c>
      <c r="N50" s="10" t="n">
        <f aca="false">L50*M50</f>
        <v>7385.1528</v>
      </c>
      <c r="O50" s="8" t="n">
        <v>46377</v>
      </c>
      <c r="P50" s="9" t="n">
        <f aca="true">TODAY()-J50</f>
        <v>290</v>
      </c>
      <c r="Q50" s="9" t="n">
        <f aca="true">O50-TODAY()</f>
        <v>103</v>
      </c>
    </row>
    <row r="51" customFormat="false" ht="15" hidden="false" customHeight="false" outlineLevel="0" collapsed="false">
      <c r="A51" s="7" t="s">
        <v>1366</v>
      </c>
      <c r="B51" s="7" t="s">
        <v>141</v>
      </c>
      <c r="C51" s="7" t="s">
        <v>142</v>
      </c>
      <c r="D51" s="7" t="s">
        <v>104</v>
      </c>
      <c r="E51" s="7" t="s">
        <v>105</v>
      </c>
      <c r="F51" s="7" t="s">
        <v>143</v>
      </c>
      <c r="G51" s="7" t="s">
        <v>117</v>
      </c>
      <c r="H51" s="7" t="s">
        <v>281</v>
      </c>
      <c r="I51" s="7" t="s">
        <v>282</v>
      </c>
      <c r="J51" s="8" t="n">
        <v>45984</v>
      </c>
      <c r="K51" s="7" t="s">
        <v>1306</v>
      </c>
      <c r="L51" s="11" t="n">
        <v>0.1</v>
      </c>
      <c r="M51" s="10" t="n">
        <v>257927.34</v>
      </c>
      <c r="N51" s="10" t="n">
        <f aca="false">L51*M51</f>
        <v>25792.734</v>
      </c>
      <c r="O51" s="8" t="n">
        <v>46348</v>
      </c>
      <c r="P51" s="9" t="n">
        <f aca="true">TODAY()-J51</f>
        <v>290</v>
      </c>
      <c r="Q51" s="9" t="n">
        <f aca="true">O51-TODAY()</f>
        <v>74</v>
      </c>
    </row>
    <row r="52" customFormat="false" ht="15" hidden="false" customHeight="false" outlineLevel="0" collapsed="false">
      <c r="A52" s="7" t="s">
        <v>1367</v>
      </c>
      <c r="B52" s="7" t="s">
        <v>1368</v>
      </c>
      <c r="C52" s="7" t="s">
        <v>1369</v>
      </c>
      <c r="D52" s="7" t="s">
        <v>201</v>
      </c>
      <c r="E52" s="7" t="s">
        <v>94</v>
      </c>
      <c r="F52" s="7" t="s">
        <v>157</v>
      </c>
      <c r="G52" s="7" t="s">
        <v>144</v>
      </c>
      <c r="H52" s="7" t="s">
        <v>258</v>
      </c>
      <c r="I52" s="7" t="s">
        <v>259</v>
      </c>
      <c r="J52" s="8" t="n">
        <v>45996</v>
      </c>
      <c r="K52" s="7" t="s">
        <v>1320</v>
      </c>
      <c r="L52" s="11" t="n">
        <v>0.81</v>
      </c>
      <c r="M52" s="10" t="n">
        <v>52562.16</v>
      </c>
      <c r="N52" s="10" t="n">
        <f aca="false">L52*M52</f>
        <v>42575.3496</v>
      </c>
      <c r="O52" s="8" t="n">
        <v>46424</v>
      </c>
      <c r="P52" s="9" t="n">
        <f aca="true">TODAY()-J52</f>
        <v>278</v>
      </c>
      <c r="Q52" s="9" t="n">
        <f aca="true">O52-TODAY()</f>
        <v>150</v>
      </c>
    </row>
    <row r="53" customFormat="false" ht="15" hidden="false" customHeight="false" outlineLevel="0" collapsed="false">
      <c r="A53" s="7" t="s">
        <v>1370</v>
      </c>
      <c r="B53" s="7" t="s">
        <v>256</v>
      </c>
      <c r="C53" s="7" t="s">
        <v>257</v>
      </c>
      <c r="D53" s="7" t="s">
        <v>135</v>
      </c>
      <c r="E53" s="7" t="s">
        <v>162</v>
      </c>
      <c r="F53" s="7" t="s">
        <v>143</v>
      </c>
      <c r="G53" s="7" t="s">
        <v>137</v>
      </c>
      <c r="H53" s="7" t="s">
        <v>122</v>
      </c>
      <c r="I53" s="7" t="s">
        <v>123</v>
      </c>
      <c r="J53" s="8" t="n">
        <v>46002</v>
      </c>
      <c r="K53" s="7" t="s">
        <v>1309</v>
      </c>
      <c r="L53" s="11" t="n">
        <v>0.27</v>
      </c>
      <c r="M53" s="10" t="n">
        <v>110568.39</v>
      </c>
      <c r="N53" s="10" t="n">
        <f aca="false">L53*M53</f>
        <v>29853.4653</v>
      </c>
      <c r="O53" s="8" t="n">
        <v>46315</v>
      </c>
      <c r="P53" s="9" t="n">
        <f aca="true">TODAY()-J53</f>
        <v>272</v>
      </c>
      <c r="Q53" s="9" t="n">
        <f aca="true">O53-TODAY()</f>
        <v>41</v>
      </c>
    </row>
    <row r="54" customFormat="false" ht="15" hidden="false" customHeight="false" outlineLevel="0" collapsed="false">
      <c r="A54" s="7" t="s">
        <v>1371</v>
      </c>
      <c r="B54" s="7" t="s">
        <v>284</v>
      </c>
      <c r="C54" s="7" t="s">
        <v>285</v>
      </c>
      <c r="D54" s="7" t="s">
        <v>201</v>
      </c>
      <c r="E54" s="7" t="s">
        <v>105</v>
      </c>
      <c r="F54" s="7" t="s">
        <v>95</v>
      </c>
      <c r="G54" s="7" t="s">
        <v>107</v>
      </c>
      <c r="H54" s="7" t="s">
        <v>278</v>
      </c>
      <c r="I54" s="7" t="s">
        <v>279</v>
      </c>
      <c r="J54" s="8" t="n">
        <v>46006</v>
      </c>
      <c r="K54" s="7" t="s">
        <v>1306</v>
      </c>
      <c r="L54" s="11" t="n">
        <v>0.1</v>
      </c>
      <c r="M54" s="10" t="n">
        <v>88717.22</v>
      </c>
      <c r="N54" s="10" t="n">
        <f aca="false">L54*M54</f>
        <v>8871.722</v>
      </c>
      <c r="O54" s="8" t="n">
        <v>46344</v>
      </c>
      <c r="P54" s="9" t="n">
        <f aca="true">TODAY()-J54</f>
        <v>268</v>
      </c>
      <c r="Q54" s="9" t="n">
        <f aca="true">O54-TODAY()</f>
        <v>70</v>
      </c>
    </row>
    <row r="55" customFormat="false" ht="15" hidden="false" customHeight="false" outlineLevel="0" collapsed="false">
      <c r="A55" s="7" t="s">
        <v>1372</v>
      </c>
      <c r="B55" s="7" t="s">
        <v>665</v>
      </c>
      <c r="C55" s="7" t="s">
        <v>666</v>
      </c>
      <c r="D55" s="7" t="s">
        <v>93</v>
      </c>
      <c r="E55" s="7" t="s">
        <v>94</v>
      </c>
      <c r="F55" s="7" t="s">
        <v>157</v>
      </c>
      <c r="G55" s="7" t="s">
        <v>107</v>
      </c>
      <c r="H55" s="7" t="s">
        <v>196</v>
      </c>
      <c r="I55" s="7" t="s">
        <v>197</v>
      </c>
      <c r="J55" s="8" t="n">
        <v>46010</v>
      </c>
      <c r="K55" s="7" t="s">
        <v>1309</v>
      </c>
      <c r="L55" s="11" t="n">
        <v>0.32</v>
      </c>
      <c r="M55" s="10" t="n">
        <v>65645.74</v>
      </c>
      <c r="N55" s="10" t="n">
        <f aca="false">L55*M55</f>
        <v>21006.6368</v>
      </c>
      <c r="O55" s="8" t="n">
        <v>46482</v>
      </c>
      <c r="P55" s="9" t="n">
        <f aca="true">TODAY()-J55</f>
        <v>264</v>
      </c>
      <c r="Q55" s="9" t="n">
        <f aca="true">O55-TODAY()</f>
        <v>208</v>
      </c>
    </row>
    <row r="56" customFormat="false" ht="15" hidden="false" customHeight="false" outlineLevel="0" collapsed="false">
      <c r="A56" s="7" t="s">
        <v>1373</v>
      </c>
      <c r="B56" s="7" t="s">
        <v>284</v>
      </c>
      <c r="C56" s="7" t="s">
        <v>285</v>
      </c>
      <c r="D56" s="7" t="s">
        <v>201</v>
      </c>
      <c r="E56" s="7" t="s">
        <v>105</v>
      </c>
      <c r="F56" s="7" t="s">
        <v>116</v>
      </c>
      <c r="G56" s="7" t="s">
        <v>107</v>
      </c>
      <c r="H56" s="7" t="s">
        <v>270</v>
      </c>
      <c r="I56" s="7" t="s">
        <v>271</v>
      </c>
      <c r="J56" s="8" t="n">
        <v>46016</v>
      </c>
      <c r="K56" s="7" t="s">
        <v>1309</v>
      </c>
      <c r="L56" s="11" t="n">
        <v>0.24</v>
      </c>
      <c r="M56" s="10" t="n">
        <v>221908.81</v>
      </c>
      <c r="N56" s="10" t="n">
        <f aca="false">L56*M56</f>
        <v>53258.1144</v>
      </c>
      <c r="O56" s="8" t="n">
        <v>46308</v>
      </c>
      <c r="P56" s="9" t="n">
        <f aca="true">TODAY()-J56</f>
        <v>258</v>
      </c>
      <c r="Q56" s="9" t="n">
        <f aca="true">O56-TODAY()</f>
        <v>34</v>
      </c>
    </row>
    <row r="57" customFormat="false" ht="15" hidden="false" customHeight="false" outlineLevel="0" collapsed="false">
      <c r="A57" s="7" t="s">
        <v>1374</v>
      </c>
      <c r="B57" s="7" t="s">
        <v>623</v>
      </c>
      <c r="C57" s="7" t="s">
        <v>624</v>
      </c>
      <c r="D57" s="7" t="s">
        <v>93</v>
      </c>
      <c r="E57" s="7" t="s">
        <v>115</v>
      </c>
      <c r="F57" s="7" t="s">
        <v>95</v>
      </c>
      <c r="G57" s="7" t="s">
        <v>96</v>
      </c>
      <c r="H57" s="7" t="s">
        <v>152</v>
      </c>
      <c r="I57" s="7" t="s">
        <v>153</v>
      </c>
      <c r="J57" s="8" t="n">
        <v>46018</v>
      </c>
      <c r="K57" s="7" t="s">
        <v>1316</v>
      </c>
      <c r="L57" s="11" t="n">
        <v>0.47</v>
      </c>
      <c r="M57" s="10" t="n">
        <v>98334.43</v>
      </c>
      <c r="N57" s="10" t="n">
        <f aca="false">L57*M57</f>
        <v>46217.1821</v>
      </c>
      <c r="O57" s="8" t="n">
        <v>46461</v>
      </c>
      <c r="P57" s="9" t="n">
        <f aca="true">TODAY()-J57</f>
        <v>256</v>
      </c>
      <c r="Q57" s="9" t="n">
        <f aca="true">O57-TODAY()</f>
        <v>187</v>
      </c>
    </row>
    <row r="58" customFormat="false" ht="15" hidden="false" customHeight="false" outlineLevel="0" collapsed="false">
      <c r="A58" s="7" t="s">
        <v>1375</v>
      </c>
      <c r="B58" s="7" t="s">
        <v>126</v>
      </c>
      <c r="C58" s="7" t="s">
        <v>127</v>
      </c>
      <c r="D58" s="7" t="s">
        <v>104</v>
      </c>
      <c r="E58" s="7" t="s">
        <v>105</v>
      </c>
      <c r="F58" s="7" t="s">
        <v>157</v>
      </c>
      <c r="G58" s="7" t="s">
        <v>107</v>
      </c>
      <c r="H58" s="7" t="s">
        <v>196</v>
      </c>
      <c r="I58" s="7" t="s">
        <v>197</v>
      </c>
      <c r="J58" s="8" t="n">
        <v>46021</v>
      </c>
      <c r="K58" s="7" t="s">
        <v>1309</v>
      </c>
      <c r="L58" s="11" t="n">
        <v>0.25</v>
      </c>
      <c r="M58" s="10" t="n">
        <v>75898.43</v>
      </c>
      <c r="N58" s="10" t="n">
        <f aca="false">L58*M58</f>
        <v>18974.6075</v>
      </c>
      <c r="O58" s="8" t="n">
        <v>46412</v>
      </c>
      <c r="P58" s="9" t="n">
        <f aca="true">TODAY()-J58</f>
        <v>253</v>
      </c>
      <c r="Q58" s="9" t="n">
        <f aca="true">O58-TODAY()</f>
        <v>138</v>
      </c>
    </row>
    <row r="59" customFormat="false" ht="15" hidden="false" customHeight="false" outlineLevel="0" collapsed="false">
      <c r="A59" s="7" t="s">
        <v>1376</v>
      </c>
      <c r="B59" s="7" t="s">
        <v>291</v>
      </c>
      <c r="C59" s="7" t="s">
        <v>292</v>
      </c>
      <c r="D59" s="7" t="s">
        <v>201</v>
      </c>
      <c r="E59" s="7" t="s">
        <v>94</v>
      </c>
      <c r="F59" s="7" t="s">
        <v>136</v>
      </c>
      <c r="G59" s="7" t="s">
        <v>96</v>
      </c>
      <c r="H59" s="7" t="s">
        <v>138</v>
      </c>
      <c r="I59" s="7" t="s">
        <v>139</v>
      </c>
      <c r="J59" s="8" t="n">
        <v>46035</v>
      </c>
      <c r="K59" s="7" t="s">
        <v>1316</v>
      </c>
      <c r="L59" s="11" t="n">
        <v>0.52</v>
      </c>
      <c r="M59" s="10" t="n">
        <v>91310.18</v>
      </c>
      <c r="N59" s="10" t="n">
        <f aca="false">L59*M59</f>
        <v>47481.2936</v>
      </c>
      <c r="O59" s="8" t="n">
        <v>46396</v>
      </c>
      <c r="P59" s="9" t="n">
        <f aca="true">TODAY()-J59</f>
        <v>239</v>
      </c>
      <c r="Q59" s="9" t="n">
        <f aca="true">O59-TODAY()</f>
        <v>122</v>
      </c>
    </row>
    <row r="60" customFormat="false" ht="15" hidden="false" customHeight="false" outlineLevel="0" collapsed="false">
      <c r="A60" s="7" t="s">
        <v>1377</v>
      </c>
      <c r="B60" s="7" t="s">
        <v>747</v>
      </c>
      <c r="C60" s="7" t="s">
        <v>748</v>
      </c>
      <c r="D60" s="7" t="s">
        <v>195</v>
      </c>
      <c r="E60" s="7" t="s">
        <v>105</v>
      </c>
      <c r="F60" s="7" t="s">
        <v>157</v>
      </c>
      <c r="G60" s="7" t="s">
        <v>176</v>
      </c>
      <c r="H60" s="7" t="s">
        <v>258</v>
      </c>
      <c r="I60" s="7" t="s">
        <v>259</v>
      </c>
      <c r="J60" s="8" t="n">
        <v>46035</v>
      </c>
      <c r="K60" s="7" t="s">
        <v>1306</v>
      </c>
      <c r="L60" s="11" t="n">
        <v>0.04</v>
      </c>
      <c r="M60" s="10" t="n">
        <v>187061</v>
      </c>
      <c r="N60" s="10" t="n">
        <f aca="false">L60*M60</f>
        <v>7482.44</v>
      </c>
      <c r="O60" s="8" t="n">
        <v>46396</v>
      </c>
      <c r="P60" s="9" t="n">
        <f aca="true">TODAY()-J60</f>
        <v>239</v>
      </c>
      <c r="Q60" s="9" t="n">
        <f aca="true">O60-TODAY()</f>
        <v>122</v>
      </c>
    </row>
    <row r="61" customFormat="false" ht="15" hidden="false" customHeight="false" outlineLevel="0" collapsed="false">
      <c r="A61" s="7" t="s">
        <v>1378</v>
      </c>
      <c r="B61" s="7" t="s">
        <v>253</v>
      </c>
      <c r="C61" s="7" t="s">
        <v>254</v>
      </c>
      <c r="D61" s="7" t="s">
        <v>242</v>
      </c>
      <c r="E61" s="7" t="s">
        <v>105</v>
      </c>
      <c r="F61" s="7" t="s">
        <v>128</v>
      </c>
      <c r="G61" s="7" t="s">
        <v>144</v>
      </c>
      <c r="H61" s="7" t="s">
        <v>97</v>
      </c>
      <c r="I61" s="7" t="s">
        <v>98</v>
      </c>
      <c r="J61" s="8" t="n">
        <v>46038</v>
      </c>
      <c r="K61" s="7" t="s">
        <v>1316</v>
      </c>
      <c r="L61" s="11" t="n">
        <v>0.52</v>
      </c>
      <c r="M61" s="10" t="n">
        <v>106255.02</v>
      </c>
      <c r="N61" s="10" t="n">
        <f aca="false">L61*M61</f>
        <v>55252.6104</v>
      </c>
      <c r="O61" s="8" t="n">
        <v>46377</v>
      </c>
      <c r="P61" s="9" t="n">
        <f aca="true">TODAY()-J61</f>
        <v>236</v>
      </c>
      <c r="Q61" s="9" t="n">
        <f aca="true">O61-TODAY()</f>
        <v>103</v>
      </c>
    </row>
    <row r="62" customFormat="false" ht="15" hidden="false" customHeight="false" outlineLevel="0" collapsed="false">
      <c r="A62" s="7" t="s">
        <v>1379</v>
      </c>
      <c r="B62" s="7" t="s">
        <v>1358</v>
      </c>
      <c r="C62" s="7" t="s">
        <v>1359</v>
      </c>
      <c r="D62" s="7" t="s">
        <v>135</v>
      </c>
      <c r="E62" s="7" t="s">
        <v>94</v>
      </c>
      <c r="F62" s="7" t="s">
        <v>95</v>
      </c>
      <c r="G62" s="7" t="s">
        <v>107</v>
      </c>
      <c r="H62" s="7" t="s">
        <v>258</v>
      </c>
      <c r="I62" s="7" t="s">
        <v>259</v>
      </c>
      <c r="J62" s="8" t="n">
        <v>46046</v>
      </c>
      <c r="K62" s="7" t="s">
        <v>1316</v>
      </c>
      <c r="L62" s="11" t="n">
        <v>0.52</v>
      </c>
      <c r="M62" s="10" t="n">
        <v>49842.06</v>
      </c>
      <c r="N62" s="10" t="n">
        <f aca="false">L62*M62</f>
        <v>25917.8712</v>
      </c>
      <c r="O62" s="8" t="n">
        <v>46294</v>
      </c>
      <c r="P62" s="9" t="n">
        <f aca="true">TODAY()-J62</f>
        <v>228</v>
      </c>
      <c r="Q62" s="9" t="n">
        <f aca="true">O62-TODAY()</f>
        <v>20</v>
      </c>
    </row>
    <row r="63" customFormat="false" ht="15" hidden="false" customHeight="false" outlineLevel="0" collapsed="false">
      <c r="A63" s="7" t="s">
        <v>1380</v>
      </c>
      <c r="B63" s="7" t="s">
        <v>273</v>
      </c>
      <c r="C63" s="7" t="s">
        <v>274</v>
      </c>
      <c r="D63" s="7" t="s">
        <v>195</v>
      </c>
      <c r="E63" s="7" t="s">
        <v>94</v>
      </c>
      <c r="F63" s="7" t="s">
        <v>136</v>
      </c>
      <c r="G63" s="7" t="s">
        <v>176</v>
      </c>
      <c r="H63" s="7" t="s">
        <v>122</v>
      </c>
      <c r="I63" s="7" t="s">
        <v>123</v>
      </c>
      <c r="J63" s="8" t="n">
        <v>46046</v>
      </c>
      <c r="K63" s="7" t="s">
        <v>1316</v>
      </c>
      <c r="L63" s="11" t="n">
        <v>0.45</v>
      </c>
      <c r="M63" s="10" t="n">
        <v>193792.85</v>
      </c>
      <c r="N63" s="10" t="n">
        <f aca="false">L63*M63</f>
        <v>87206.7825</v>
      </c>
      <c r="O63" s="8" t="n">
        <v>46517</v>
      </c>
      <c r="P63" s="9" t="n">
        <f aca="true">TODAY()-J63</f>
        <v>228</v>
      </c>
      <c r="Q63" s="9" t="n">
        <f aca="true">O63-TODAY()</f>
        <v>243</v>
      </c>
    </row>
    <row r="64" customFormat="false" ht="15" hidden="false" customHeight="false" outlineLevel="0" collapsed="false">
      <c r="A64" s="7" t="s">
        <v>1381</v>
      </c>
      <c r="B64" s="7" t="s">
        <v>369</v>
      </c>
      <c r="C64" s="7" t="s">
        <v>370</v>
      </c>
      <c r="D64" s="7" t="s">
        <v>242</v>
      </c>
      <c r="E64" s="7" t="s">
        <v>115</v>
      </c>
      <c r="F64" s="7" t="s">
        <v>106</v>
      </c>
      <c r="G64" s="7" t="s">
        <v>137</v>
      </c>
      <c r="H64" s="7" t="s">
        <v>122</v>
      </c>
      <c r="I64" s="7" t="s">
        <v>123</v>
      </c>
      <c r="J64" s="8" t="n">
        <v>46049</v>
      </c>
      <c r="K64" s="7" t="s">
        <v>1320</v>
      </c>
      <c r="L64" s="11" t="n">
        <v>0.75</v>
      </c>
      <c r="M64" s="10" t="n">
        <v>158136.34</v>
      </c>
      <c r="N64" s="10" t="n">
        <f aca="false">L64*M64</f>
        <v>118602.255</v>
      </c>
      <c r="O64" s="8" t="n">
        <v>46483</v>
      </c>
      <c r="P64" s="9" t="n">
        <f aca="true">TODAY()-J64</f>
        <v>225</v>
      </c>
      <c r="Q64" s="9" t="n">
        <f aca="true">O64-TODAY()</f>
        <v>209</v>
      </c>
    </row>
    <row r="65" customFormat="false" ht="15" hidden="false" customHeight="false" outlineLevel="0" collapsed="false">
      <c r="A65" s="7" t="s">
        <v>1382</v>
      </c>
      <c r="B65" s="7" t="s">
        <v>424</v>
      </c>
      <c r="C65" s="7" t="s">
        <v>425</v>
      </c>
      <c r="D65" s="7" t="s">
        <v>114</v>
      </c>
      <c r="E65" s="7" t="s">
        <v>115</v>
      </c>
      <c r="F65" s="7" t="s">
        <v>106</v>
      </c>
      <c r="G65" s="7" t="s">
        <v>96</v>
      </c>
      <c r="H65" s="7" t="s">
        <v>177</v>
      </c>
      <c r="I65" s="7" t="s">
        <v>178</v>
      </c>
      <c r="J65" s="8" t="n">
        <v>46058</v>
      </c>
      <c r="K65" s="7" t="s">
        <v>1309</v>
      </c>
      <c r="L65" s="11" t="n">
        <v>0.29</v>
      </c>
      <c r="M65" s="10" t="n">
        <v>132014.89</v>
      </c>
      <c r="N65" s="10" t="n">
        <f aca="false">L65*M65</f>
        <v>38284.3181</v>
      </c>
      <c r="O65" s="8" t="n">
        <v>46290</v>
      </c>
      <c r="P65" s="9" t="n">
        <f aca="true">TODAY()-J65</f>
        <v>216</v>
      </c>
      <c r="Q65" s="9" t="n">
        <f aca="true">O65-TODAY()</f>
        <v>16</v>
      </c>
    </row>
    <row r="66" customFormat="false" ht="15" hidden="false" customHeight="false" outlineLevel="0" collapsed="false">
      <c r="A66" s="7" t="s">
        <v>1383</v>
      </c>
      <c r="B66" s="7" t="s">
        <v>199</v>
      </c>
      <c r="C66" s="7" t="s">
        <v>200</v>
      </c>
      <c r="D66" s="7" t="s">
        <v>201</v>
      </c>
      <c r="E66" s="7" t="s">
        <v>94</v>
      </c>
      <c r="F66" s="7" t="s">
        <v>183</v>
      </c>
      <c r="G66" s="7" t="s">
        <v>117</v>
      </c>
      <c r="H66" s="7" t="s">
        <v>231</v>
      </c>
      <c r="I66" s="7" t="s">
        <v>232</v>
      </c>
      <c r="J66" s="8" t="n">
        <v>46064</v>
      </c>
      <c r="K66" s="7" t="s">
        <v>1306</v>
      </c>
      <c r="L66" s="11" t="n">
        <v>0.13</v>
      </c>
      <c r="M66" s="10" t="n">
        <v>85692.22</v>
      </c>
      <c r="N66" s="10" t="n">
        <f aca="false">L66*M66</f>
        <v>11139.9886</v>
      </c>
      <c r="O66" s="8" t="n">
        <v>46355</v>
      </c>
      <c r="P66" s="9" t="n">
        <f aca="true">TODAY()-J66</f>
        <v>210</v>
      </c>
      <c r="Q66" s="9" t="n">
        <f aca="true">O66-TODAY()</f>
        <v>81</v>
      </c>
    </row>
    <row r="67" customFormat="false" ht="15" hidden="false" customHeight="false" outlineLevel="0" collapsed="false">
      <c r="A67" s="7" t="s">
        <v>1384</v>
      </c>
      <c r="B67" s="7" t="s">
        <v>454</v>
      </c>
      <c r="C67" s="7" t="s">
        <v>455</v>
      </c>
      <c r="D67" s="7" t="s">
        <v>242</v>
      </c>
      <c r="E67" s="7" t="s">
        <v>105</v>
      </c>
      <c r="F67" s="7" t="s">
        <v>136</v>
      </c>
      <c r="G67" s="7" t="s">
        <v>107</v>
      </c>
      <c r="H67" s="7" t="s">
        <v>205</v>
      </c>
      <c r="I67" s="7" t="s">
        <v>206</v>
      </c>
      <c r="J67" s="8" t="n">
        <v>46066</v>
      </c>
      <c r="K67" s="7" t="s">
        <v>1316</v>
      </c>
      <c r="L67" s="11" t="n">
        <v>0.52</v>
      </c>
      <c r="M67" s="10" t="n">
        <v>28765.18</v>
      </c>
      <c r="N67" s="10" t="n">
        <f aca="false">L67*M67</f>
        <v>14957.8936</v>
      </c>
      <c r="O67" s="8" t="n">
        <v>46392</v>
      </c>
      <c r="P67" s="9" t="n">
        <f aca="true">TODAY()-J67</f>
        <v>208</v>
      </c>
      <c r="Q67" s="9" t="n">
        <f aca="true">O67-TODAY()</f>
        <v>118</v>
      </c>
    </row>
    <row r="68" customFormat="false" ht="15" hidden="false" customHeight="false" outlineLevel="0" collapsed="false">
      <c r="A68" s="7" t="s">
        <v>1385</v>
      </c>
      <c r="B68" s="7" t="s">
        <v>237</v>
      </c>
      <c r="C68" s="7" t="s">
        <v>238</v>
      </c>
      <c r="D68" s="7" t="s">
        <v>195</v>
      </c>
      <c r="E68" s="7" t="s">
        <v>94</v>
      </c>
      <c r="F68" s="7" t="s">
        <v>157</v>
      </c>
      <c r="G68" s="7" t="s">
        <v>117</v>
      </c>
      <c r="H68" s="7" t="s">
        <v>185</v>
      </c>
      <c r="I68" s="7" t="s">
        <v>186</v>
      </c>
      <c r="J68" s="8" t="n">
        <v>46066</v>
      </c>
      <c r="K68" s="7" t="s">
        <v>1306</v>
      </c>
      <c r="L68" s="11" t="n">
        <v>0.13</v>
      </c>
      <c r="M68" s="10" t="n">
        <v>62498.16</v>
      </c>
      <c r="N68" s="10" t="n">
        <f aca="false">L68*M68</f>
        <v>8124.7608</v>
      </c>
      <c r="O68" s="8" t="n">
        <v>46432</v>
      </c>
      <c r="P68" s="9" t="n">
        <f aca="true">TODAY()-J68</f>
        <v>208</v>
      </c>
      <c r="Q68" s="9" t="n">
        <f aca="true">O68-TODAY()</f>
        <v>158</v>
      </c>
    </row>
    <row r="69" customFormat="false" ht="15" hidden="false" customHeight="false" outlineLevel="0" collapsed="false">
      <c r="A69" s="7" t="s">
        <v>1386</v>
      </c>
      <c r="B69" s="7" t="s">
        <v>133</v>
      </c>
      <c r="C69" s="7" t="s">
        <v>134</v>
      </c>
      <c r="D69" s="7" t="s">
        <v>135</v>
      </c>
      <c r="E69" s="7" t="s">
        <v>94</v>
      </c>
      <c r="F69" s="7" t="s">
        <v>116</v>
      </c>
      <c r="G69" s="7" t="s">
        <v>184</v>
      </c>
      <c r="H69" s="7" t="s">
        <v>223</v>
      </c>
      <c r="I69" s="7" t="s">
        <v>224</v>
      </c>
      <c r="J69" s="8" t="n">
        <v>46066</v>
      </c>
      <c r="K69" s="7" t="s">
        <v>1306</v>
      </c>
      <c r="L69" s="11" t="n">
        <v>0.08</v>
      </c>
      <c r="M69" s="10" t="n">
        <v>40229.59</v>
      </c>
      <c r="N69" s="10" t="n">
        <f aca="false">L69*M69</f>
        <v>3218.3672</v>
      </c>
      <c r="O69" s="8" t="n">
        <v>46460</v>
      </c>
      <c r="P69" s="9" t="n">
        <f aca="true">TODAY()-J69</f>
        <v>208</v>
      </c>
      <c r="Q69" s="9" t="n">
        <f aca="true">O69-TODAY()</f>
        <v>186</v>
      </c>
    </row>
    <row r="70" customFormat="false" ht="15" hidden="false" customHeight="false" outlineLevel="0" collapsed="false">
      <c r="A70" s="7" t="s">
        <v>1387</v>
      </c>
      <c r="B70" s="7" t="s">
        <v>193</v>
      </c>
      <c r="C70" s="7" t="s">
        <v>194</v>
      </c>
      <c r="D70" s="7" t="s">
        <v>195</v>
      </c>
      <c r="E70" s="7" t="s">
        <v>115</v>
      </c>
      <c r="F70" s="7" t="s">
        <v>116</v>
      </c>
      <c r="G70" s="7" t="s">
        <v>107</v>
      </c>
      <c r="H70" s="7" t="s">
        <v>205</v>
      </c>
      <c r="I70" s="7" t="s">
        <v>206</v>
      </c>
      <c r="J70" s="8" t="n">
        <v>46067</v>
      </c>
      <c r="K70" s="7" t="s">
        <v>1306</v>
      </c>
      <c r="L70" s="11" t="n">
        <v>0.06</v>
      </c>
      <c r="M70" s="10" t="n">
        <v>87192.64</v>
      </c>
      <c r="N70" s="10" t="n">
        <f aca="false">L70*M70</f>
        <v>5231.5584</v>
      </c>
      <c r="O70" s="8" t="n">
        <v>46365</v>
      </c>
      <c r="P70" s="9" t="n">
        <f aca="true">TODAY()-J70</f>
        <v>207</v>
      </c>
      <c r="Q70" s="9" t="n">
        <f aca="true">O70-TODAY()</f>
        <v>91</v>
      </c>
    </row>
    <row r="71" customFormat="false" ht="15" hidden="false" customHeight="false" outlineLevel="0" collapsed="false">
      <c r="A71" s="7" t="s">
        <v>1388</v>
      </c>
      <c r="B71" s="7" t="s">
        <v>724</v>
      </c>
      <c r="C71" s="7" t="s">
        <v>725</v>
      </c>
      <c r="D71" s="7" t="s">
        <v>195</v>
      </c>
      <c r="E71" s="7" t="s">
        <v>115</v>
      </c>
      <c r="F71" s="7" t="s">
        <v>136</v>
      </c>
      <c r="G71" s="7" t="s">
        <v>184</v>
      </c>
      <c r="H71" s="7" t="s">
        <v>278</v>
      </c>
      <c r="I71" s="7" t="s">
        <v>279</v>
      </c>
      <c r="J71" s="8" t="n">
        <v>46070</v>
      </c>
      <c r="K71" s="7" t="s">
        <v>1316</v>
      </c>
      <c r="L71" s="11" t="n">
        <v>0.53</v>
      </c>
      <c r="M71" s="10" t="n">
        <v>120492.77</v>
      </c>
      <c r="N71" s="10" t="n">
        <f aca="false">L71*M71</f>
        <v>63861.1681</v>
      </c>
      <c r="O71" s="8" t="n">
        <v>46290</v>
      </c>
      <c r="P71" s="9" t="n">
        <f aca="true">TODAY()-J71</f>
        <v>204</v>
      </c>
      <c r="Q71" s="9" t="n">
        <f aca="true">O71-TODAY()</f>
        <v>16</v>
      </c>
    </row>
    <row r="72" customFormat="false" ht="15" hidden="false" customHeight="false" outlineLevel="0" collapsed="false">
      <c r="A72" s="7" t="s">
        <v>1389</v>
      </c>
      <c r="B72" s="7" t="s">
        <v>256</v>
      </c>
      <c r="C72" s="7" t="s">
        <v>257</v>
      </c>
      <c r="D72" s="7" t="s">
        <v>135</v>
      </c>
      <c r="E72" s="7" t="s">
        <v>162</v>
      </c>
      <c r="F72" s="7" t="s">
        <v>95</v>
      </c>
      <c r="G72" s="7" t="s">
        <v>107</v>
      </c>
      <c r="H72" s="7" t="s">
        <v>122</v>
      </c>
      <c r="I72" s="7" t="s">
        <v>123</v>
      </c>
      <c r="J72" s="8" t="n">
        <v>46082</v>
      </c>
      <c r="K72" s="7" t="s">
        <v>1309</v>
      </c>
      <c r="L72" s="11" t="n">
        <v>0.24</v>
      </c>
      <c r="M72" s="10" t="n">
        <v>137194.42</v>
      </c>
      <c r="N72" s="10" t="n">
        <f aca="false">L72*M72</f>
        <v>32926.6608</v>
      </c>
      <c r="O72" s="8" t="n">
        <v>46534</v>
      </c>
      <c r="P72" s="9" t="n">
        <f aca="true">TODAY()-J72</f>
        <v>192</v>
      </c>
      <c r="Q72" s="9" t="n">
        <f aca="true">O72-TODAY()</f>
        <v>260</v>
      </c>
    </row>
    <row r="73" customFormat="false" ht="15" hidden="false" customHeight="false" outlineLevel="0" collapsed="false">
      <c r="A73" s="7" t="s">
        <v>1390</v>
      </c>
      <c r="B73" s="7" t="s">
        <v>546</v>
      </c>
      <c r="C73" s="7" t="s">
        <v>547</v>
      </c>
      <c r="D73" s="7" t="s">
        <v>201</v>
      </c>
      <c r="E73" s="7" t="s">
        <v>105</v>
      </c>
      <c r="F73" s="7" t="s">
        <v>106</v>
      </c>
      <c r="G73" s="7" t="s">
        <v>184</v>
      </c>
      <c r="H73" s="7" t="s">
        <v>281</v>
      </c>
      <c r="I73" s="7" t="s">
        <v>282</v>
      </c>
      <c r="J73" s="8" t="n">
        <v>46083</v>
      </c>
      <c r="K73" s="7" t="s">
        <v>1316</v>
      </c>
      <c r="L73" s="11" t="n">
        <v>0.51</v>
      </c>
      <c r="M73" s="10" t="n">
        <v>154757.87</v>
      </c>
      <c r="N73" s="10" t="n">
        <f aca="false">L73*M73</f>
        <v>78926.5137</v>
      </c>
      <c r="O73" s="8" t="n">
        <v>46401</v>
      </c>
      <c r="P73" s="9" t="n">
        <f aca="true">TODAY()-J73</f>
        <v>191</v>
      </c>
      <c r="Q73" s="9" t="n">
        <f aca="true">O73-TODAY()</f>
        <v>127</v>
      </c>
    </row>
    <row r="74" customFormat="false" ht="15" hidden="false" customHeight="false" outlineLevel="0" collapsed="false">
      <c r="A74" s="7" t="s">
        <v>1391</v>
      </c>
      <c r="B74" s="7" t="s">
        <v>437</v>
      </c>
      <c r="C74" s="7" t="s">
        <v>438</v>
      </c>
      <c r="D74" s="7" t="s">
        <v>104</v>
      </c>
      <c r="E74" s="7" t="s">
        <v>94</v>
      </c>
      <c r="F74" s="7" t="s">
        <v>106</v>
      </c>
      <c r="G74" s="7" t="s">
        <v>96</v>
      </c>
      <c r="H74" s="7" t="s">
        <v>122</v>
      </c>
      <c r="I74" s="7" t="s">
        <v>123</v>
      </c>
      <c r="J74" s="8" t="n">
        <v>46085</v>
      </c>
      <c r="K74" s="7" t="s">
        <v>1306</v>
      </c>
      <c r="L74" s="11" t="n">
        <v>0.03</v>
      </c>
      <c r="M74" s="10" t="n">
        <v>61708.9</v>
      </c>
      <c r="N74" s="10" t="n">
        <f aca="false">L74*M74</f>
        <v>1851.267</v>
      </c>
      <c r="O74" s="8" t="n">
        <v>46428</v>
      </c>
      <c r="P74" s="9" t="n">
        <f aca="true">TODAY()-J74</f>
        <v>189</v>
      </c>
      <c r="Q74" s="9" t="n">
        <f aca="true">O74-TODAY()</f>
        <v>154</v>
      </c>
    </row>
    <row r="75" customFormat="false" ht="15" hidden="false" customHeight="false" outlineLevel="0" collapsed="false">
      <c r="A75" s="7" t="s">
        <v>1392</v>
      </c>
      <c r="B75" s="7" t="s">
        <v>1262</v>
      </c>
      <c r="C75" s="7" t="s">
        <v>1263</v>
      </c>
      <c r="D75" s="7" t="s">
        <v>151</v>
      </c>
      <c r="E75" s="7" t="s">
        <v>94</v>
      </c>
      <c r="F75" s="7" t="s">
        <v>136</v>
      </c>
      <c r="G75" s="7" t="s">
        <v>137</v>
      </c>
      <c r="H75" s="7" t="s">
        <v>223</v>
      </c>
      <c r="I75" s="7" t="s">
        <v>224</v>
      </c>
      <c r="J75" s="8" t="n">
        <v>46087</v>
      </c>
      <c r="K75" s="7" t="s">
        <v>1306</v>
      </c>
      <c r="L75" s="11" t="n">
        <v>0.17</v>
      </c>
      <c r="M75" s="10" t="n">
        <v>180355.17</v>
      </c>
      <c r="N75" s="10" t="n">
        <f aca="false">L75*M75</f>
        <v>30660.3789</v>
      </c>
      <c r="O75" s="8" t="n">
        <v>46326</v>
      </c>
      <c r="P75" s="9" t="n">
        <f aca="true">TODAY()-J75</f>
        <v>187</v>
      </c>
      <c r="Q75" s="9" t="n">
        <f aca="true">O75-TODAY()</f>
        <v>52</v>
      </c>
    </row>
    <row r="76" customFormat="false" ht="15" hidden="false" customHeight="false" outlineLevel="0" collapsed="false">
      <c r="A76" s="7" t="s">
        <v>1393</v>
      </c>
      <c r="B76" s="7" t="s">
        <v>334</v>
      </c>
      <c r="C76" s="7" t="s">
        <v>335</v>
      </c>
      <c r="D76" s="7" t="s">
        <v>242</v>
      </c>
      <c r="E76" s="7" t="s">
        <v>162</v>
      </c>
      <c r="F76" s="7" t="s">
        <v>106</v>
      </c>
      <c r="G76" s="7" t="s">
        <v>137</v>
      </c>
      <c r="H76" s="7" t="s">
        <v>223</v>
      </c>
      <c r="I76" s="7" t="s">
        <v>224</v>
      </c>
      <c r="J76" s="8" t="n">
        <v>46092</v>
      </c>
      <c r="K76" s="7" t="s">
        <v>1316</v>
      </c>
      <c r="L76" s="11" t="n">
        <v>0.49</v>
      </c>
      <c r="M76" s="10" t="n">
        <v>35393.03</v>
      </c>
      <c r="N76" s="10" t="n">
        <f aca="false">L76*M76</f>
        <v>17342.5847</v>
      </c>
      <c r="O76" s="8" t="n">
        <v>46491</v>
      </c>
      <c r="P76" s="9" t="n">
        <f aca="true">TODAY()-J76</f>
        <v>182</v>
      </c>
      <c r="Q76" s="9" t="n">
        <f aca="true">O76-TODAY()</f>
        <v>217</v>
      </c>
    </row>
    <row r="77" customFormat="false" ht="15" hidden="false" customHeight="false" outlineLevel="0" collapsed="false">
      <c r="A77" s="7" t="s">
        <v>1394</v>
      </c>
      <c r="B77" s="7" t="s">
        <v>613</v>
      </c>
      <c r="C77" s="7" t="s">
        <v>614</v>
      </c>
      <c r="D77" s="7" t="s">
        <v>114</v>
      </c>
      <c r="E77" s="7" t="s">
        <v>105</v>
      </c>
      <c r="F77" s="7" t="s">
        <v>143</v>
      </c>
      <c r="G77" s="7" t="s">
        <v>96</v>
      </c>
      <c r="H77" s="7" t="s">
        <v>205</v>
      </c>
      <c r="I77" s="7" t="s">
        <v>206</v>
      </c>
      <c r="J77" s="8" t="n">
        <v>46094</v>
      </c>
      <c r="K77" s="7" t="s">
        <v>1306</v>
      </c>
      <c r="L77" s="11" t="n">
        <v>0.1</v>
      </c>
      <c r="M77" s="10" t="n">
        <v>107091.88</v>
      </c>
      <c r="N77" s="10" t="n">
        <f aca="false">L77*M77</f>
        <v>10709.188</v>
      </c>
      <c r="O77" s="8" t="n">
        <v>46331</v>
      </c>
      <c r="P77" s="9" t="n">
        <f aca="true">TODAY()-J77</f>
        <v>180</v>
      </c>
      <c r="Q77" s="9" t="n">
        <f aca="true">O77-TODAY()</f>
        <v>57</v>
      </c>
    </row>
    <row r="78" customFormat="false" ht="15" hidden="false" customHeight="false" outlineLevel="0" collapsed="false">
      <c r="A78" s="7" t="s">
        <v>1395</v>
      </c>
      <c r="B78" s="7" t="s">
        <v>1350</v>
      </c>
      <c r="C78" s="7" t="s">
        <v>1351</v>
      </c>
      <c r="D78" s="7" t="s">
        <v>242</v>
      </c>
      <c r="E78" s="7" t="s">
        <v>115</v>
      </c>
      <c r="F78" s="7" t="s">
        <v>128</v>
      </c>
      <c r="G78" s="7" t="s">
        <v>117</v>
      </c>
      <c r="H78" s="7" t="s">
        <v>278</v>
      </c>
      <c r="I78" s="7" t="s">
        <v>279</v>
      </c>
      <c r="J78" s="8" t="n">
        <v>46096</v>
      </c>
      <c r="K78" s="7" t="s">
        <v>1306</v>
      </c>
      <c r="L78" s="11" t="n">
        <v>0.08</v>
      </c>
      <c r="M78" s="10" t="n">
        <v>126514.77</v>
      </c>
      <c r="N78" s="10" t="n">
        <f aca="false">L78*M78</f>
        <v>10121.1816</v>
      </c>
      <c r="O78" s="8" t="n">
        <v>46523</v>
      </c>
      <c r="P78" s="9" t="n">
        <f aca="true">TODAY()-J78</f>
        <v>178</v>
      </c>
      <c r="Q78" s="9" t="n">
        <f aca="true">O78-TODAY()</f>
        <v>249</v>
      </c>
    </row>
    <row r="79" customFormat="false" ht="15" hidden="false" customHeight="false" outlineLevel="0" collapsed="false">
      <c r="A79" s="7" t="s">
        <v>1396</v>
      </c>
      <c r="B79" s="7" t="s">
        <v>447</v>
      </c>
      <c r="C79" s="7" t="s">
        <v>448</v>
      </c>
      <c r="D79" s="7" t="s">
        <v>93</v>
      </c>
      <c r="E79" s="7" t="s">
        <v>115</v>
      </c>
      <c r="F79" s="7" t="s">
        <v>116</v>
      </c>
      <c r="G79" s="7" t="s">
        <v>184</v>
      </c>
      <c r="H79" s="7" t="s">
        <v>129</v>
      </c>
      <c r="I79" s="7" t="s">
        <v>130</v>
      </c>
      <c r="J79" s="8" t="n">
        <v>46096</v>
      </c>
      <c r="K79" s="7" t="s">
        <v>1306</v>
      </c>
      <c r="L79" s="11" t="n">
        <v>0.16</v>
      </c>
      <c r="M79" s="10" t="n">
        <v>183435.11</v>
      </c>
      <c r="N79" s="10" t="n">
        <f aca="false">L79*M79</f>
        <v>29349.6176</v>
      </c>
      <c r="O79" s="8" t="n">
        <v>46466</v>
      </c>
      <c r="P79" s="9" t="n">
        <f aca="true">TODAY()-J79</f>
        <v>178</v>
      </c>
      <c r="Q79" s="9" t="n">
        <f aca="true">O79-TODAY()</f>
        <v>192</v>
      </c>
    </row>
    <row r="80" customFormat="false" ht="15" hidden="false" customHeight="false" outlineLevel="0" collapsed="false">
      <c r="A80" s="7" t="s">
        <v>1397</v>
      </c>
      <c r="B80" s="7" t="s">
        <v>164</v>
      </c>
      <c r="C80" s="7" t="s">
        <v>165</v>
      </c>
      <c r="D80" s="7" t="s">
        <v>151</v>
      </c>
      <c r="E80" s="7" t="s">
        <v>94</v>
      </c>
      <c r="F80" s="7" t="s">
        <v>136</v>
      </c>
      <c r="G80" s="7" t="s">
        <v>184</v>
      </c>
      <c r="H80" s="7" t="s">
        <v>152</v>
      </c>
      <c r="I80" s="7" t="s">
        <v>153</v>
      </c>
      <c r="J80" s="8" t="n">
        <v>46097</v>
      </c>
      <c r="K80" s="7" t="s">
        <v>1316</v>
      </c>
      <c r="L80" s="11" t="n">
        <v>0.47</v>
      </c>
      <c r="M80" s="10" t="n">
        <v>131300.82</v>
      </c>
      <c r="N80" s="10" t="n">
        <f aca="false">L80*M80</f>
        <v>61711.3854</v>
      </c>
      <c r="O80" s="8" t="n">
        <v>46358</v>
      </c>
      <c r="P80" s="9" t="n">
        <f aca="true">TODAY()-J80</f>
        <v>177</v>
      </c>
      <c r="Q80" s="9" t="n">
        <f aca="true">O80-TODAY()</f>
        <v>84</v>
      </c>
    </row>
    <row r="81" customFormat="false" ht="15" hidden="false" customHeight="false" outlineLevel="0" collapsed="false">
      <c r="A81" s="7" t="s">
        <v>1398</v>
      </c>
      <c r="B81" s="7" t="s">
        <v>769</v>
      </c>
      <c r="C81" s="7" t="s">
        <v>770</v>
      </c>
      <c r="D81" s="7" t="s">
        <v>114</v>
      </c>
      <c r="E81" s="7" t="s">
        <v>162</v>
      </c>
      <c r="F81" s="7" t="s">
        <v>116</v>
      </c>
      <c r="G81" s="7" t="s">
        <v>176</v>
      </c>
      <c r="H81" s="7" t="s">
        <v>270</v>
      </c>
      <c r="I81" s="7" t="s">
        <v>271</v>
      </c>
      <c r="J81" s="8" t="n">
        <v>46098</v>
      </c>
      <c r="K81" s="7" t="s">
        <v>1306</v>
      </c>
      <c r="L81" s="11" t="n">
        <v>0.15</v>
      </c>
      <c r="M81" s="10" t="n">
        <v>52104.03</v>
      </c>
      <c r="N81" s="10" t="n">
        <f aca="false">L81*M81</f>
        <v>7815.6045</v>
      </c>
      <c r="O81" s="8" t="n">
        <v>46296</v>
      </c>
      <c r="P81" s="9" t="n">
        <f aca="true">TODAY()-J81</f>
        <v>176</v>
      </c>
      <c r="Q81" s="9" t="n">
        <f aca="true">O81-TODAY()</f>
        <v>22</v>
      </c>
    </row>
    <row r="82" customFormat="false" ht="15" hidden="false" customHeight="false" outlineLevel="0" collapsed="false">
      <c r="A82" s="7" t="s">
        <v>1399</v>
      </c>
      <c r="B82" s="7" t="s">
        <v>485</v>
      </c>
      <c r="C82" s="7" t="s">
        <v>486</v>
      </c>
      <c r="D82" s="7" t="s">
        <v>151</v>
      </c>
      <c r="E82" s="7" t="s">
        <v>94</v>
      </c>
      <c r="F82" s="7" t="s">
        <v>116</v>
      </c>
      <c r="G82" s="7" t="s">
        <v>144</v>
      </c>
      <c r="H82" s="7" t="s">
        <v>171</v>
      </c>
      <c r="I82" s="7" t="s">
        <v>172</v>
      </c>
      <c r="J82" s="8" t="n">
        <v>46100</v>
      </c>
      <c r="K82" s="7" t="s">
        <v>1309</v>
      </c>
      <c r="L82" s="11" t="n">
        <v>0.29</v>
      </c>
      <c r="M82" s="10" t="n">
        <v>63913.95</v>
      </c>
      <c r="N82" s="10" t="n">
        <f aca="false">L82*M82</f>
        <v>18535.0455</v>
      </c>
      <c r="O82" s="8" t="n">
        <v>46548</v>
      </c>
      <c r="P82" s="9" t="n">
        <f aca="true">TODAY()-J82</f>
        <v>174</v>
      </c>
      <c r="Q82" s="9" t="n">
        <f aca="true">O82-TODAY()</f>
        <v>274</v>
      </c>
    </row>
    <row r="83" customFormat="false" ht="15" hidden="false" customHeight="false" outlineLevel="0" collapsed="false">
      <c r="A83" s="7" t="s">
        <v>1400</v>
      </c>
      <c r="B83" s="7" t="s">
        <v>904</v>
      </c>
      <c r="C83" s="7" t="s">
        <v>905</v>
      </c>
      <c r="D83" s="7" t="s">
        <v>201</v>
      </c>
      <c r="E83" s="7" t="s">
        <v>94</v>
      </c>
      <c r="F83" s="7" t="s">
        <v>95</v>
      </c>
      <c r="G83" s="7" t="s">
        <v>176</v>
      </c>
      <c r="H83" s="7" t="s">
        <v>177</v>
      </c>
      <c r="I83" s="7" t="s">
        <v>178</v>
      </c>
      <c r="J83" s="8" t="n">
        <v>46100</v>
      </c>
      <c r="K83" s="7" t="s">
        <v>1309</v>
      </c>
      <c r="L83" s="11" t="n">
        <v>0.17</v>
      </c>
      <c r="M83" s="10" t="n">
        <v>73502.82</v>
      </c>
      <c r="N83" s="10" t="n">
        <f aca="false">L83*M83</f>
        <v>12495.4794</v>
      </c>
      <c r="O83" s="8" t="n">
        <v>46544</v>
      </c>
      <c r="P83" s="9" t="n">
        <f aca="true">TODAY()-J83</f>
        <v>174</v>
      </c>
      <c r="Q83" s="9" t="n">
        <f aca="true">O83-TODAY()</f>
        <v>270</v>
      </c>
    </row>
    <row r="84" customFormat="false" ht="15" hidden="false" customHeight="false" outlineLevel="0" collapsed="false">
      <c r="A84" s="7" t="s">
        <v>1401</v>
      </c>
      <c r="B84" s="7" t="s">
        <v>356</v>
      </c>
      <c r="C84" s="7" t="s">
        <v>357</v>
      </c>
      <c r="D84" s="7" t="s">
        <v>114</v>
      </c>
      <c r="E84" s="7" t="s">
        <v>105</v>
      </c>
      <c r="F84" s="7" t="s">
        <v>143</v>
      </c>
      <c r="G84" s="7" t="s">
        <v>96</v>
      </c>
      <c r="H84" s="7" t="s">
        <v>270</v>
      </c>
      <c r="I84" s="7" t="s">
        <v>271</v>
      </c>
      <c r="J84" s="8" t="n">
        <v>46101</v>
      </c>
      <c r="K84" s="7" t="s">
        <v>1320</v>
      </c>
      <c r="L84" s="11" t="n">
        <v>0.78</v>
      </c>
      <c r="M84" s="10" t="n">
        <v>273203.63</v>
      </c>
      <c r="N84" s="10" t="n">
        <f aca="false">L84*M84</f>
        <v>213098.8314</v>
      </c>
      <c r="O84" s="8" t="n">
        <v>46440</v>
      </c>
      <c r="P84" s="9" t="n">
        <f aca="true">TODAY()-J84</f>
        <v>173</v>
      </c>
      <c r="Q84" s="9" t="n">
        <f aca="true">O84-TODAY()</f>
        <v>166</v>
      </c>
    </row>
    <row r="85" customFormat="false" ht="15" hidden="false" customHeight="false" outlineLevel="0" collapsed="false">
      <c r="A85" s="7" t="s">
        <v>1402</v>
      </c>
      <c r="B85" s="7" t="s">
        <v>871</v>
      </c>
      <c r="C85" s="7" t="s">
        <v>872</v>
      </c>
      <c r="D85" s="7" t="s">
        <v>114</v>
      </c>
      <c r="E85" s="7" t="s">
        <v>105</v>
      </c>
      <c r="F85" s="7" t="s">
        <v>157</v>
      </c>
      <c r="G85" s="7" t="s">
        <v>96</v>
      </c>
      <c r="H85" s="7" t="s">
        <v>258</v>
      </c>
      <c r="I85" s="7" t="s">
        <v>259</v>
      </c>
      <c r="J85" s="8" t="n">
        <v>46102</v>
      </c>
      <c r="K85" s="7" t="s">
        <v>1320</v>
      </c>
      <c r="L85" s="11" t="n">
        <v>0.74</v>
      </c>
      <c r="M85" s="10" t="n">
        <v>35858.77</v>
      </c>
      <c r="N85" s="10" t="n">
        <f aca="false">L85*M85</f>
        <v>26535.4898</v>
      </c>
      <c r="O85" s="8" t="n">
        <v>46409</v>
      </c>
      <c r="P85" s="9" t="n">
        <f aca="true">TODAY()-J85</f>
        <v>172</v>
      </c>
      <c r="Q85" s="9" t="n">
        <f aca="true">O85-TODAY()</f>
        <v>135</v>
      </c>
    </row>
    <row r="86" customFormat="false" ht="15" hidden="false" customHeight="false" outlineLevel="0" collapsed="false">
      <c r="A86" s="7" t="s">
        <v>1403</v>
      </c>
      <c r="B86" s="7" t="s">
        <v>375</v>
      </c>
      <c r="C86" s="7" t="s">
        <v>376</v>
      </c>
      <c r="D86" s="7" t="s">
        <v>201</v>
      </c>
      <c r="E86" s="7" t="s">
        <v>115</v>
      </c>
      <c r="F86" s="7" t="s">
        <v>136</v>
      </c>
      <c r="G86" s="7" t="s">
        <v>184</v>
      </c>
      <c r="H86" s="7" t="s">
        <v>281</v>
      </c>
      <c r="I86" s="7" t="s">
        <v>282</v>
      </c>
      <c r="J86" s="8" t="n">
        <v>46103</v>
      </c>
      <c r="K86" s="7" t="s">
        <v>1309</v>
      </c>
      <c r="L86" s="11" t="n">
        <v>0.2</v>
      </c>
      <c r="M86" s="10" t="n">
        <v>134914.55</v>
      </c>
      <c r="N86" s="10" t="n">
        <f aca="false">L86*M86</f>
        <v>26982.91</v>
      </c>
      <c r="O86" s="8" t="n">
        <v>46523</v>
      </c>
      <c r="P86" s="9" t="n">
        <f aca="true">TODAY()-J86</f>
        <v>171</v>
      </c>
      <c r="Q86" s="9" t="n">
        <f aca="true">O86-TODAY()</f>
        <v>249</v>
      </c>
    </row>
    <row r="87" customFormat="false" ht="15" hidden="false" customHeight="false" outlineLevel="0" collapsed="false">
      <c r="A87" s="7" t="s">
        <v>1404</v>
      </c>
      <c r="B87" s="7" t="s">
        <v>454</v>
      </c>
      <c r="C87" s="7" t="s">
        <v>455</v>
      </c>
      <c r="D87" s="7" t="s">
        <v>242</v>
      </c>
      <c r="E87" s="7" t="s">
        <v>105</v>
      </c>
      <c r="F87" s="7" t="s">
        <v>183</v>
      </c>
      <c r="G87" s="7" t="s">
        <v>117</v>
      </c>
      <c r="H87" s="7" t="s">
        <v>213</v>
      </c>
      <c r="I87" s="7" t="s">
        <v>214</v>
      </c>
      <c r="J87" s="8" t="n">
        <v>46109</v>
      </c>
      <c r="K87" s="7" t="s">
        <v>1306</v>
      </c>
      <c r="L87" s="11" t="n">
        <v>0.09</v>
      </c>
      <c r="M87" s="10" t="n">
        <v>133413.41</v>
      </c>
      <c r="N87" s="10" t="n">
        <f aca="false">L87*M87</f>
        <v>12007.2069</v>
      </c>
      <c r="O87" s="8" t="n">
        <v>46389</v>
      </c>
      <c r="P87" s="9" t="n">
        <f aca="true">TODAY()-J87</f>
        <v>165</v>
      </c>
      <c r="Q87" s="9" t="n">
        <f aca="true">O87-TODAY()</f>
        <v>115</v>
      </c>
    </row>
    <row r="88" customFormat="false" ht="15" hidden="false" customHeight="false" outlineLevel="0" collapsed="false">
      <c r="A88" s="7" t="s">
        <v>1405</v>
      </c>
      <c r="B88" s="7" t="s">
        <v>1026</v>
      </c>
      <c r="C88" s="7" t="s">
        <v>1027</v>
      </c>
      <c r="D88" s="7" t="s">
        <v>93</v>
      </c>
      <c r="E88" s="7" t="s">
        <v>162</v>
      </c>
      <c r="F88" s="7" t="s">
        <v>95</v>
      </c>
      <c r="G88" s="7" t="s">
        <v>137</v>
      </c>
      <c r="H88" s="7" t="s">
        <v>166</v>
      </c>
      <c r="I88" s="7" t="s">
        <v>167</v>
      </c>
      <c r="J88" s="8" t="n">
        <v>46109</v>
      </c>
      <c r="K88" s="7" t="s">
        <v>1306</v>
      </c>
      <c r="L88" s="11" t="n">
        <v>0.03</v>
      </c>
      <c r="M88" s="10" t="n">
        <v>64475.65</v>
      </c>
      <c r="N88" s="10" t="n">
        <f aca="false">L88*M88</f>
        <v>1934.2695</v>
      </c>
      <c r="O88" s="8" t="n">
        <v>46416</v>
      </c>
      <c r="P88" s="9" t="n">
        <f aca="true">TODAY()-J88</f>
        <v>165</v>
      </c>
      <c r="Q88" s="9" t="n">
        <f aca="true">O88-TODAY()</f>
        <v>142</v>
      </c>
    </row>
    <row r="89" customFormat="false" ht="15" hidden="false" customHeight="false" outlineLevel="0" collapsed="false">
      <c r="A89" s="7" t="s">
        <v>1406</v>
      </c>
      <c r="B89" s="7" t="s">
        <v>353</v>
      </c>
      <c r="C89" s="7" t="s">
        <v>354</v>
      </c>
      <c r="D89" s="7" t="s">
        <v>151</v>
      </c>
      <c r="E89" s="7" t="s">
        <v>105</v>
      </c>
      <c r="F89" s="7" t="s">
        <v>128</v>
      </c>
      <c r="G89" s="7" t="s">
        <v>137</v>
      </c>
      <c r="H89" s="7" t="s">
        <v>97</v>
      </c>
      <c r="I89" s="7" t="s">
        <v>98</v>
      </c>
      <c r="J89" s="8" t="n">
        <v>46112</v>
      </c>
      <c r="K89" s="7" t="s">
        <v>1306</v>
      </c>
      <c r="L89" s="11" t="n">
        <v>0.09</v>
      </c>
      <c r="M89" s="10" t="n">
        <v>59483.28</v>
      </c>
      <c r="N89" s="10" t="n">
        <f aca="false">L89*M89</f>
        <v>5353.4952</v>
      </c>
      <c r="O89" s="8" t="n">
        <v>46515</v>
      </c>
      <c r="P89" s="9" t="n">
        <f aca="true">TODAY()-J89</f>
        <v>162</v>
      </c>
      <c r="Q89" s="9" t="n">
        <f aca="true">O89-TODAY()</f>
        <v>241</v>
      </c>
    </row>
    <row r="90" customFormat="false" ht="15" hidden="false" customHeight="false" outlineLevel="0" collapsed="false">
      <c r="A90" s="7" t="s">
        <v>1407</v>
      </c>
      <c r="B90" s="7" t="s">
        <v>687</v>
      </c>
      <c r="C90" s="7" t="s">
        <v>688</v>
      </c>
      <c r="D90" s="7" t="s">
        <v>135</v>
      </c>
      <c r="E90" s="7" t="s">
        <v>115</v>
      </c>
      <c r="F90" s="7" t="s">
        <v>157</v>
      </c>
      <c r="G90" s="7" t="s">
        <v>137</v>
      </c>
      <c r="H90" s="7" t="s">
        <v>177</v>
      </c>
      <c r="I90" s="7" t="s">
        <v>178</v>
      </c>
      <c r="J90" s="8" t="n">
        <v>46112</v>
      </c>
      <c r="K90" s="7" t="s">
        <v>1309</v>
      </c>
      <c r="L90" s="11" t="n">
        <v>0.29</v>
      </c>
      <c r="M90" s="10" t="n">
        <v>52497.57</v>
      </c>
      <c r="N90" s="10" t="n">
        <f aca="false">L90*M90</f>
        <v>15224.2953</v>
      </c>
      <c r="O90" s="8" t="n">
        <v>46427</v>
      </c>
      <c r="P90" s="9" t="n">
        <f aca="true">TODAY()-J90</f>
        <v>162</v>
      </c>
      <c r="Q90" s="9" t="n">
        <f aca="true">O90-TODAY()</f>
        <v>153</v>
      </c>
    </row>
    <row r="91" customFormat="false" ht="15" hidden="false" customHeight="false" outlineLevel="0" collapsed="false">
      <c r="A91" s="7" t="s">
        <v>1408</v>
      </c>
      <c r="B91" s="7" t="s">
        <v>1056</v>
      </c>
      <c r="C91" s="7" t="s">
        <v>1057</v>
      </c>
      <c r="D91" s="7" t="s">
        <v>195</v>
      </c>
      <c r="E91" s="7" t="s">
        <v>105</v>
      </c>
      <c r="F91" s="7" t="s">
        <v>128</v>
      </c>
      <c r="G91" s="7" t="s">
        <v>107</v>
      </c>
      <c r="H91" s="7" t="s">
        <v>108</v>
      </c>
      <c r="I91" s="7" t="s">
        <v>109</v>
      </c>
      <c r="J91" s="8" t="n">
        <v>46115</v>
      </c>
      <c r="K91" s="7" t="s">
        <v>1306</v>
      </c>
      <c r="L91" s="11" t="n">
        <v>0.12</v>
      </c>
      <c r="M91" s="10" t="n">
        <v>66108.15</v>
      </c>
      <c r="N91" s="10" t="n">
        <f aca="false">L91*M91</f>
        <v>7932.978</v>
      </c>
      <c r="O91" s="8" t="n">
        <v>46470</v>
      </c>
      <c r="P91" s="9" t="n">
        <f aca="true">TODAY()-J91</f>
        <v>159</v>
      </c>
      <c r="Q91" s="9" t="n">
        <f aca="true">O91-TODAY()</f>
        <v>196</v>
      </c>
    </row>
    <row r="92" customFormat="false" ht="15" hidden="false" customHeight="false" outlineLevel="0" collapsed="false">
      <c r="A92" s="7" t="s">
        <v>1409</v>
      </c>
      <c r="B92" s="7" t="s">
        <v>875</v>
      </c>
      <c r="C92" s="7" t="s">
        <v>876</v>
      </c>
      <c r="D92" s="7" t="s">
        <v>114</v>
      </c>
      <c r="E92" s="7" t="s">
        <v>162</v>
      </c>
      <c r="F92" s="7" t="s">
        <v>136</v>
      </c>
      <c r="G92" s="7" t="s">
        <v>117</v>
      </c>
      <c r="H92" s="7" t="s">
        <v>402</v>
      </c>
      <c r="I92" s="7" t="s">
        <v>403</v>
      </c>
      <c r="J92" s="8" t="n">
        <v>46119</v>
      </c>
      <c r="K92" s="7" t="s">
        <v>1309</v>
      </c>
      <c r="L92" s="11" t="n">
        <v>0.23</v>
      </c>
      <c r="M92" s="10" t="n">
        <v>82829.69</v>
      </c>
      <c r="N92" s="10" t="n">
        <f aca="false">L92*M92</f>
        <v>19050.8287</v>
      </c>
      <c r="O92" s="8" t="n">
        <v>46305</v>
      </c>
      <c r="P92" s="9" t="n">
        <f aca="true">TODAY()-J92</f>
        <v>155</v>
      </c>
      <c r="Q92" s="9" t="n">
        <f aca="true">O92-TODAY()</f>
        <v>31</v>
      </c>
    </row>
    <row r="93" customFormat="false" ht="15" hidden="false" customHeight="false" outlineLevel="0" collapsed="false">
      <c r="A93" s="7" t="s">
        <v>1410</v>
      </c>
      <c r="B93" s="7" t="s">
        <v>1411</v>
      </c>
      <c r="C93" s="7" t="s">
        <v>1412</v>
      </c>
      <c r="D93" s="7" t="s">
        <v>104</v>
      </c>
      <c r="E93" s="7" t="s">
        <v>162</v>
      </c>
      <c r="F93" s="7" t="s">
        <v>128</v>
      </c>
      <c r="G93" s="7" t="s">
        <v>107</v>
      </c>
      <c r="H93" s="7" t="s">
        <v>270</v>
      </c>
      <c r="I93" s="7" t="s">
        <v>271</v>
      </c>
      <c r="J93" s="8" t="n">
        <v>46120</v>
      </c>
      <c r="K93" s="7" t="s">
        <v>1316</v>
      </c>
      <c r="L93" s="11" t="n">
        <v>0.47</v>
      </c>
      <c r="M93" s="10" t="n">
        <v>62415.21</v>
      </c>
      <c r="N93" s="10" t="n">
        <f aca="false">L93*M93</f>
        <v>29335.1487</v>
      </c>
      <c r="O93" s="8" t="n">
        <v>46475</v>
      </c>
      <c r="P93" s="9" t="n">
        <f aca="true">TODAY()-J93</f>
        <v>154</v>
      </c>
      <c r="Q93" s="9" t="n">
        <f aca="true">O93-TODAY()</f>
        <v>201</v>
      </c>
    </row>
    <row r="94" customFormat="false" ht="15" hidden="false" customHeight="false" outlineLevel="0" collapsed="false">
      <c r="A94" s="7" t="s">
        <v>1413</v>
      </c>
      <c r="B94" s="7" t="s">
        <v>592</v>
      </c>
      <c r="C94" s="7" t="s">
        <v>593</v>
      </c>
      <c r="D94" s="7" t="s">
        <v>114</v>
      </c>
      <c r="E94" s="7" t="s">
        <v>162</v>
      </c>
      <c r="F94" s="7" t="s">
        <v>116</v>
      </c>
      <c r="G94" s="7" t="s">
        <v>96</v>
      </c>
      <c r="H94" s="7" t="s">
        <v>180</v>
      </c>
      <c r="I94" s="7" t="s">
        <v>181</v>
      </c>
      <c r="J94" s="8" t="n">
        <v>46122</v>
      </c>
      <c r="K94" s="7" t="s">
        <v>1306</v>
      </c>
      <c r="L94" s="11" t="n">
        <v>0.11</v>
      </c>
      <c r="M94" s="10" t="n">
        <v>55192.18</v>
      </c>
      <c r="N94" s="10" t="n">
        <f aca="false">L94*M94</f>
        <v>6071.1398</v>
      </c>
      <c r="O94" s="8" t="n">
        <v>46339</v>
      </c>
      <c r="P94" s="9" t="n">
        <f aca="true">TODAY()-J94</f>
        <v>152</v>
      </c>
      <c r="Q94" s="9" t="n">
        <f aca="true">O94-TODAY()</f>
        <v>65</v>
      </c>
    </row>
    <row r="95" customFormat="false" ht="15" hidden="false" customHeight="false" outlineLevel="0" collapsed="false">
      <c r="A95" s="7" t="s">
        <v>1414</v>
      </c>
      <c r="B95" s="7" t="s">
        <v>334</v>
      </c>
      <c r="C95" s="7" t="s">
        <v>335</v>
      </c>
      <c r="D95" s="7" t="s">
        <v>242</v>
      </c>
      <c r="E95" s="7" t="s">
        <v>162</v>
      </c>
      <c r="F95" s="7" t="s">
        <v>143</v>
      </c>
      <c r="G95" s="7" t="s">
        <v>107</v>
      </c>
      <c r="H95" s="7" t="s">
        <v>402</v>
      </c>
      <c r="I95" s="7" t="s">
        <v>403</v>
      </c>
      <c r="J95" s="8" t="n">
        <v>46124</v>
      </c>
      <c r="K95" s="7" t="s">
        <v>1316</v>
      </c>
      <c r="L95" s="11" t="n">
        <v>0.46</v>
      </c>
      <c r="M95" s="10" t="n">
        <v>196421.66</v>
      </c>
      <c r="N95" s="10" t="n">
        <f aca="false">L95*M95</f>
        <v>90353.9636</v>
      </c>
      <c r="O95" s="8" t="n">
        <v>46465</v>
      </c>
      <c r="P95" s="9" t="n">
        <f aca="true">TODAY()-J95</f>
        <v>150</v>
      </c>
      <c r="Q95" s="9" t="n">
        <f aca="true">O95-TODAY()</f>
        <v>191</v>
      </c>
    </row>
    <row r="96" customFormat="false" ht="15" hidden="false" customHeight="false" outlineLevel="0" collapsed="false">
      <c r="A96" s="7" t="s">
        <v>1415</v>
      </c>
      <c r="B96" s="7" t="s">
        <v>603</v>
      </c>
      <c r="C96" s="7" t="s">
        <v>604</v>
      </c>
      <c r="D96" s="7" t="s">
        <v>195</v>
      </c>
      <c r="E96" s="7" t="s">
        <v>105</v>
      </c>
      <c r="F96" s="7" t="s">
        <v>128</v>
      </c>
      <c r="G96" s="7" t="s">
        <v>184</v>
      </c>
      <c r="H96" s="7" t="s">
        <v>223</v>
      </c>
      <c r="I96" s="7" t="s">
        <v>224</v>
      </c>
      <c r="J96" s="8" t="n">
        <v>46125</v>
      </c>
      <c r="K96" s="7" t="s">
        <v>1309</v>
      </c>
      <c r="L96" s="11" t="n">
        <v>0.2</v>
      </c>
      <c r="M96" s="10" t="n">
        <v>40691.93</v>
      </c>
      <c r="N96" s="10" t="n">
        <f aca="false">L96*M96</f>
        <v>8138.386</v>
      </c>
      <c r="O96" s="8" t="n">
        <v>46419</v>
      </c>
      <c r="P96" s="9" t="n">
        <f aca="true">TODAY()-J96</f>
        <v>149</v>
      </c>
      <c r="Q96" s="9" t="n">
        <f aca="true">O96-TODAY()</f>
        <v>145</v>
      </c>
    </row>
    <row r="97" customFormat="false" ht="15" hidden="false" customHeight="false" outlineLevel="0" collapsed="false">
      <c r="A97" s="7" t="s">
        <v>1416</v>
      </c>
      <c r="B97" s="7" t="s">
        <v>871</v>
      </c>
      <c r="C97" s="7" t="s">
        <v>872</v>
      </c>
      <c r="D97" s="7" t="s">
        <v>114</v>
      </c>
      <c r="E97" s="7" t="s">
        <v>105</v>
      </c>
      <c r="F97" s="7" t="s">
        <v>106</v>
      </c>
      <c r="G97" s="7" t="s">
        <v>144</v>
      </c>
      <c r="H97" s="7" t="s">
        <v>278</v>
      </c>
      <c r="I97" s="7" t="s">
        <v>279</v>
      </c>
      <c r="J97" s="8" t="n">
        <v>46125</v>
      </c>
      <c r="K97" s="7" t="s">
        <v>1306</v>
      </c>
      <c r="L97" s="11" t="n">
        <v>0.06</v>
      </c>
      <c r="M97" s="10" t="n">
        <v>97765.56</v>
      </c>
      <c r="N97" s="10" t="n">
        <f aca="false">L97*M97</f>
        <v>5865.9336</v>
      </c>
      <c r="O97" s="8" t="n">
        <v>46323</v>
      </c>
      <c r="P97" s="9" t="n">
        <f aca="true">TODAY()-J97</f>
        <v>149</v>
      </c>
      <c r="Q97" s="9" t="n">
        <f aca="true">O97-TODAY()</f>
        <v>49</v>
      </c>
    </row>
    <row r="98" customFormat="false" ht="15" hidden="false" customHeight="false" outlineLevel="0" collapsed="false">
      <c r="A98" s="7" t="s">
        <v>1417</v>
      </c>
      <c r="B98" s="7" t="s">
        <v>250</v>
      </c>
      <c r="C98" s="7" t="s">
        <v>251</v>
      </c>
      <c r="D98" s="7" t="s">
        <v>195</v>
      </c>
      <c r="E98" s="7" t="s">
        <v>105</v>
      </c>
      <c r="F98" s="7" t="s">
        <v>95</v>
      </c>
      <c r="G98" s="7" t="s">
        <v>176</v>
      </c>
      <c r="H98" s="7" t="s">
        <v>180</v>
      </c>
      <c r="I98" s="7" t="s">
        <v>181</v>
      </c>
      <c r="J98" s="8" t="n">
        <v>46133</v>
      </c>
      <c r="K98" s="7" t="s">
        <v>1309</v>
      </c>
      <c r="L98" s="11" t="n">
        <v>0.23</v>
      </c>
      <c r="M98" s="10" t="n">
        <v>56619.1</v>
      </c>
      <c r="N98" s="10" t="n">
        <f aca="false">L98*M98</f>
        <v>13022.393</v>
      </c>
      <c r="O98" s="8" t="n">
        <v>46355</v>
      </c>
      <c r="P98" s="9" t="n">
        <f aca="true">TODAY()-J98</f>
        <v>141</v>
      </c>
      <c r="Q98" s="9" t="n">
        <f aca="true">O98-TODAY()</f>
        <v>81</v>
      </c>
    </row>
    <row r="99" customFormat="false" ht="15" hidden="false" customHeight="false" outlineLevel="0" collapsed="false">
      <c r="A99" s="7" t="s">
        <v>1418</v>
      </c>
      <c r="B99" s="7" t="s">
        <v>447</v>
      </c>
      <c r="C99" s="7" t="s">
        <v>448</v>
      </c>
      <c r="D99" s="7" t="s">
        <v>93</v>
      </c>
      <c r="E99" s="7" t="s">
        <v>115</v>
      </c>
      <c r="F99" s="7" t="s">
        <v>95</v>
      </c>
      <c r="G99" s="7" t="s">
        <v>176</v>
      </c>
      <c r="H99" s="7" t="s">
        <v>223</v>
      </c>
      <c r="I99" s="7" t="s">
        <v>224</v>
      </c>
      <c r="J99" s="8" t="n">
        <v>46133</v>
      </c>
      <c r="K99" s="7" t="s">
        <v>1306</v>
      </c>
      <c r="L99" s="11" t="n">
        <v>0.14</v>
      </c>
      <c r="M99" s="10" t="n">
        <v>155199.89</v>
      </c>
      <c r="N99" s="10" t="n">
        <f aca="false">L99*M99</f>
        <v>21727.9846</v>
      </c>
      <c r="O99" s="8" t="n">
        <v>46480</v>
      </c>
      <c r="P99" s="9" t="n">
        <f aca="true">TODAY()-J99</f>
        <v>141</v>
      </c>
      <c r="Q99" s="9" t="n">
        <f aca="true">O99-TODAY()</f>
        <v>206</v>
      </c>
    </row>
    <row r="100" customFormat="false" ht="15" hidden="false" customHeight="false" outlineLevel="0" collapsed="false">
      <c r="A100" s="7" t="s">
        <v>1419</v>
      </c>
      <c r="B100" s="7" t="s">
        <v>886</v>
      </c>
      <c r="C100" s="7" t="s">
        <v>887</v>
      </c>
      <c r="D100" s="7" t="s">
        <v>104</v>
      </c>
      <c r="E100" s="7" t="s">
        <v>115</v>
      </c>
      <c r="F100" s="7" t="s">
        <v>128</v>
      </c>
      <c r="G100" s="7" t="s">
        <v>96</v>
      </c>
      <c r="H100" s="7" t="s">
        <v>402</v>
      </c>
      <c r="I100" s="7" t="s">
        <v>403</v>
      </c>
      <c r="J100" s="8" t="n">
        <v>46137</v>
      </c>
      <c r="K100" s="7" t="s">
        <v>1309</v>
      </c>
      <c r="L100" s="11" t="n">
        <v>0.33</v>
      </c>
      <c r="M100" s="10" t="n">
        <v>42577.05</v>
      </c>
      <c r="N100" s="10" t="n">
        <f aca="false">L100*M100</f>
        <v>14050.4265</v>
      </c>
      <c r="O100" s="8" t="n">
        <v>46349</v>
      </c>
      <c r="P100" s="9" t="n">
        <f aca="true">TODAY()-J100</f>
        <v>137</v>
      </c>
      <c r="Q100" s="9" t="n">
        <f aca="true">O100-TODAY()</f>
        <v>75</v>
      </c>
    </row>
    <row r="101" customFormat="false" ht="15" hidden="false" customHeight="false" outlineLevel="0" collapsed="false">
      <c r="A101" s="7" t="s">
        <v>1420</v>
      </c>
      <c r="B101" s="7" t="s">
        <v>871</v>
      </c>
      <c r="C101" s="7" t="s">
        <v>872</v>
      </c>
      <c r="D101" s="7" t="s">
        <v>114</v>
      </c>
      <c r="E101" s="7" t="s">
        <v>105</v>
      </c>
      <c r="F101" s="7" t="s">
        <v>116</v>
      </c>
      <c r="G101" s="7" t="s">
        <v>176</v>
      </c>
      <c r="H101" s="7" t="s">
        <v>129</v>
      </c>
      <c r="I101" s="7" t="s">
        <v>130</v>
      </c>
      <c r="J101" s="8" t="n">
        <v>46151</v>
      </c>
      <c r="K101" s="7" t="s">
        <v>1316</v>
      </c>
      <c r="L101" s="11" t="n">
        <v>0.53</v>
      </c>
      <c r="M101" s="10" t="n">
        <v>78541.5</v>
      </c>
      <c r="N101" s="10" t="n">
        <f aca="false">L101*M101</f>
        <v>41626.995</v>
      </c>
      <c r="O101" s="8" t="n">
        <v>46501</v>
      </c>
      <c r="P101" s="9" t="n">
        <f aca="true">TODAY()-J101</f>
        <v>123</v>
      </c>
      <c r="Q101" s="9" t="n">
        <f aca="true">O101-TODAY()</f>
        <v>227</v>
      </c>
    </row>
    <row r="102" customFormat="false" ht="15" hidden="false" customHeight="false" outlineLevel="0" collapsed="false">
      <c r="A102" s="7" t="s">
        <v>1421</v>
      </c>
      <c r="B102" s="7" t="s">
        <v>871</v>
      </c>
      <c r="C102" s="7" t="s">
        <v>872</v>
      </c>
      <c r="D102" s="7" t="s">
        <v>114</v>
      </c>
      <c r="E102" s="7" t="s">
        <v>105</v>
      </c>
      <c r="F102" s="7" t="s">
        <v>128</v>
      </c>
      <c r="G102" s="7" t="s">
        <v>117</v>
      </c>
      <c r="H102" s="7" t="s">
        <v>171</v>
      </c>
      <c r="I102" s="7" t="s">
        <v>172</v>
      </c>
      <c r="J102" s="8" t="n">
        <v>46153</v>
      </c>
      <c r="K102" s="7" t="s">
        <v>1306</v>
      </c>
      <c r="L102" s="11" t="n">
        <v>0.15</v>
      </c>
      <c r="M102" s="10" t="n">
        <v>42973.4</v>
      </c>
      <c r="N102" s="10" t="n">
        <f aca="false">L102*M102</f>
        <v>6446.01</v>
      </c>
      <c r="O102" s="8" t="n">
        <v>46301</v>
      </c>
      <c r="P102" s="9" t="n">
        <f aca="true">TODAY()-J102</f>
        <v>121</v>
      </c>
      <c r="Q102" s="9" t="n">
        <f aca="true">O102-TODAY()</f>
        <v>27</v>
      </c>
    </row>
    <row r="103" customFormat="false" ht="15" hidden="false" customHeight="false" outlineLevel="0" collapsed="false">
      <c r="A103" s="7" t="s">
        <v>1422</v>
      </c>
      <c r="B103" s="7" t="s">
        <v>284</v>
      </c>
      <c r="C103" s="7" t="s">
        <v>285</v>
      </c>
      <c r="D103" s="7" t="s">
        <v>201</v>
      </c>
      <c r="E103" s="7" t="s">
        <v>105</v>
      </c>
      <c r="F103" s="7" t="s">
        <v>157</v>
      </c>
      <c r="G103" s="7" t="s">
        <v>184</v>
      </c>
      <c r="H103" s="7" t="s">
        <v>145</v>
      </c>
      <c r="I103" s="7" t="s">
        <v>146</v>
      </c>
      <c r="J103" s="8" t="n">
        <v>46159</v>
      </c>
      <c r="K103" s="7" t="s">
        <v>1309</v>
      </c>
      <c r="L103" s="11" t="n">
        <v>0.2</v>
      </c>
      <c r="M103" s="10" t="n">
        <v>79721.79</v>
      </c>
      <c r="N103" s="10" t="n">
        <f aca="false">L103*M103</f>
        <v>15944.358</v>
      </c>
      <c r="O103" s="8" t="n">
        <v>46462</v>
      </c>
      <c r="P103" s="9" t="n">
        <f aca="true">TODAY()-J103</f>
        <v>115</v>
      </c>
      <c r="Q103" s="9" t="n">
        <f aca="true">O103-TODAY()</f>
        <v>188</v>
      </c>
    </row>
    <row r="104" customFormat="false" ht="15" hidden="false" customHeight="false" outlineLevel="0" collapsed="false">
      <c r="A104" s="7" t="s">
        <v>1423</v>
      </c>
      <c r="B104" s="7" t="s">
        <v>1424</v>
      </c>
      <c r="C104" s="7" t="s">
        <v>1425</v>
      </c>
      <c r="D104" s="7" t="s">
        <v>242</v>
      </c>
      <c r="E104" s="7" t="s">
        <v>94</v>
      </c>
      <c r="F104" s="7" t="s">
        <v>116</v>
      </c>
      <c r="G104" s="7" t="s">
        <v>144</v>
      </c>
      <c r="H104" s="7" t="s">
        <v>258</v>
      </c>
      <c r="I104" s="7" t="s">
        <v>259</v>
      </c>
      <c r="J104" s="8" t="n">
        <v>46159</v>
      </c>
      <c r="K104" s="7" t="s">
        <v>1309</v>
      </c>
      <c r="L104" s="11" t="n">
        <v>0.22</v>
      </c>
      <c r="M104" s="10" t="n">
        <v>78032.19</v>
      </c>
      <c r="N104" s="10" t="n">
        <f aca="false">L104*M104</f>
        <v>17167.0818</v>
      </c>
      <c r="O104" s="8" t="n">
        <v>46505</v>
      </c>
      <c r="P104" s="9" t="n">
        <f aca="true">TODAY()-J104</f>
        <v>115</v>
      </c>
      <c r="Q104" s="9" t="n">
        <f aca="true">O104-TODAY()</f>
        <v>231</v>
      </c>
    </row>
    <row r="105" customFormat="false" ht="15" hidden="false" customHeight="false" outlineLevel="0" collapsed="false">
      <c r="A105" s="7" t="s">
        <v>1426</v>
      </c>
      <c r="B105" s="7" t="s">
        <v>454</v>
      </c>
      <c r="C105" s="7" t="s">
        <v>455</v>
      </c>
      <c r="D105" s="7" t="s">
        <v>242</v>
      </c>
      <c r="E105" s="7" t="s">
        <v>105</v>
      </c>
      <c r="F105" s="7" t="s">
        <v>136</v>
      </c>
      <c r="G105" s="7" t="s">
        <v>107</v>
      </c>
      <c r="H105" s="7" t="s">
        <v>166</v>
      </c>
      <c r="I105" s="7" t="s">
        <v>167</v>
      </c>
      <c r="J105" s="8" t="n">
        <v>46160</v>
      </c>
      <c r="K105" s="7" t="s">
        <v>1306</v>
      </c>
      <c r="L105" s="11" t="n">
        <v>0.08</v>
      </c>
      <c r="M105" s="10" t="n">
        <v>261456.76</v>
      </c>
      <c r="N105" s="10" t="n">
        <f aca="false">L105*M105</f>
        <v>20916.5408</v>
      </c>
      <c r="O105" s="8" t="n">
        <v>46421</v>
      </c>
      <c r="P105" s="9" t="n">
        <f aca="true">TODAY()-J105</f>
        <v>114</v>
      </c>
      <c r="Q105" s="9" t="n">
        <f aca="true">O105-TODAY()</f>
        <v>147</v>
      </c>
    </row>
    <row r="106" customFormat="false" ht="15" hidden="false" customHeight="false" outlineLevel="0" collapsed="false">
      <c r="A106" s="7" t="s">
        <v>1427</v>
      </c>
      <c r="B106" s="7" t="s">
        <v>369</v>
      </c>
      <c r="C106" s="7" t="s">
        <v>370</v>
      </c>
      <c r="D106" s="7" t="s">
        <v>242</v>
      </c>
      <c r="E106" s="7" t="s">
        <v>115</v>
      </c>
      <c r="F106" s="7" t="s">
        <v>136</v>
      </c>
      <c r="G106" s="7" t="s">
        <v>144</v>
      </c>
      <c r="H106" s="7" t="s">
        <v>305</v>
      </c>
      <c r="I106" s="7" t="s">
        <v>306</v>
      </c>
      <c r="J106" s="8" t="n">
        <v>46162</v>
      </c>
      <c r="K106" s="7" t="s">
        <v>1309</v>
      </c>
      <c r="L106" s="11" t="n">
        <v>0.31</v>
      </c>
      <c r="M106" s="10" t="n">
        <v>224122.27</v>
      </c>
      <c r="N106" s="10" t="n">
        <f aca="false">L106*M106</f>
        <v>69477.9037</v>
      </c>
      <c r="O106" s="8" t="n">
        <v>46330</v>
      </c>
      <c r="P106" s="9" t="n">
        <f aca="true">TODAY()-J106</f>
        <v>112</v>
      </c>
      <c r="Q106" s="9" t="n">
        <f aca="true">O106-TODAY()</f>
        <v>56</v>
      </c>
    </row>
    <row r="107" customFormat="false" ht="15" hidden="false" customHeight="false" outlineLevel="0" collapsed="false">
      <c r="A107" s="7" t="s">
        <v>1428</v>
      </c>
      <c r="B107" s="7" t="s">
        <v>912</v>
      </c>
      <c r="C107" s="7" t="s">
        <v>913</v>
      </c>
      <c r="D107" s="7" t="s">
        <v>151</v>
      </c>
      <c r="E107" s="7" t="s">
        <v>94</v>
      </c>
      <c r="F107" s="7" t="s">
        <v>128</v>
      </c>
      <c r="G107" s="7" t="s">
        <v>176</v>
      </c>
      <c r="H107" s="7" t="s">
        <v>205</v>
      </c>
      <c r="I107" s="7" t="s">
        <v>206</v>
      </c>
      <c r="J107" s="8" t="n">
        <v>46163</v>
      </c>
      <c r="K107" s="7" t="s">
        <v>1316</v>
      </c>
      <c r="L107" s="11" t="n">
        <v>0.52</v>
      </c>
      <c r="M107" s="10" t="n">
        <v>88862</v>
      </c>
      <c r="N107" s="10" t="n">
        <f aca="false">L107*M107</f>
        <v>46208.24</v>
      </c>
      <c r="O107" s="8" t="n">
        <v>46457</v>
      </c>
      <c r="P107" s="9" t="n">
        <f aca="true">TODAY()-J107</f>
        <v>111</v>
      </c>
      <c r="Q107" s="9" t="n">
        <f aca="true">O107-TODAY()</f>
        <v>183</v>
      </c>
    </row>
    <row r="108" customFormat="false" ht="15" hidden="false" customHeight="false" outlineLevel="0" collapsed="false">
      <c r="A108" s="7" t="s">
        <v>1429</v>
      </c>
      <c r="B108" s="7" t="s">
        <v>284</v>
      </c>
      <c r="C108" s="7" t="s">
        <v>285</v>
      </c>
      <c r="D108" s="7" t="s">
        <v>201</v>
      </c>
      <c r="E108" s="7" t="s">
        <v>105</v>
      </c>
      <c r="F108" s="7" t="s">
        <v>157</v>
      </c>
      <c r="G108" s="7" t="s">
        <v>184</v>
      </c>
      <c r="H108" s="7" t="s">
        <v>223</v>
      </c>
      <c r="I108" s="7" t="s">
        <v>224</v>
      </c>
      <c r="J108" s="8" t="n">
        <v>46170</v>
      </c>
      <c r="K108" s="7" t="s">
        <v>1309</v>
      </c>
      <c r="L108" s="11" t="n">
        <v>0.24</v>
      </c>
      <c r="M108" s="10" t="n">
        <v>66050.22</v>
      </c>
      <c r="N108" s="10" t="n">
        <f aca="false">L108*M108</f>
        <v>15852.0528</v>
      </c>
      <c r="O108" s="8" t="n">
        <v>46304</v>
      </c>
      <c r="P108" s="9" t="n">
        <f aca="true">TODAY()-J108</f>
        <v>104</v>
      </c>
      <c r="Q108" s="9" t="n">
        <f aca="true">O108-TODAY()</f>
        <v>30</v>
      </c>
    </row>
    <row r="109" customFormat="false" ht="15" hidden="false" customHeight="false" outlineLevel="0" collapsed="false">
      <c r="A109" s="7" t="s">
        <v>1430</v>
      </c>
      <c r="B109" s="7" t="s">
        <v>821</v>
      </c>
      <c r="C109" s="7" t="s">
        <v>822</v>
      </c>
      <c r="D109" s="7" t="s">
        <v>201</v>
      </c>
      <c r="E109" s="7" t="s">
        <v>105</v>
      </c>
      <c r="F109" s="7" t="s">
        <v>95</v>
      </c>
      <c r="G109" s="7" t="s">
        <v>107</v>
      </c>
      <c r="H109" s="7" t="s">
        <v>278</v>
      </c>
      <c r="I109" s="7" t="s">
        <v>279</v>
      </c>
      <c r="J109" s="8" t="n">
        <v>46182</v>
      </c>
      <c r="K109" s="7" t="s">
        <v>1306</v>
      </c>
      <c r="L109" s="11" t="n">
        <v>0.17</v>
      </c>
      <c r="M109" s="10" t="n">
        <v>94829.4</v>
      </c>
      <c r="N109" s="10" t="n">
        <f aca="false">L109*M109</f>
        <v>16120.998</v>
      </c>
      <c r="O109" s="8" t="n">
        <v>46438</v>
      </c>
      <c r="P109" s="9" t="n">
        <f aca="true">TODAY()-J109</f>
        <v>92</v>
      </c>
      <c r="Q109" s="9" t="n">
        <f aca="true">O109-TODAY()</f>
        <v>164</v>
      </c>
    </row>
    <row r="110" customFormat="false" ht="15" hidden="false" customHeight="false" outlineLevel="0" collapsed="false">
      <c r="A110" s="7" t="s">
        <v>1431</v>
      </c>
      <c r="B110" s="7" t="s">
        <v>975</v>
      </c>
      <c r="C110" s="7" t="s">
        <v>976</v>
      </c>
      <c r="D110" s="7" t="s">
        <v>242</v>
      </c>
      <c r="E110" s="7" t="s">
        <v>94</v>
      </c>
      <c r="F110" s="7" t="s">
        <v>157</v>
      </c>
      <c r="G110" s="7" t="s">
        <v>137</v>
      </c>
      <c r="H110" s="7" t="s">
        <v>152</v>
      </c>
      <c r="I110" s="7" t="s">
        <v>153</v>
      </c>
      <c r="J110" s="8" t="n">
        <v>46183</v>
      </c>
      <c r="K110" s="7" t="s">
        <v>1309</v>
      </c>
      <c r="L110" s="11" t="n">
        <v>0.25</v>
      </c>
      <c r="M110" s="10" t="n">
        <v>42590.2</v>
      </c>
      <c r="N110" s="10" t="n">
        <f aca="false">L110*M110</f>
        <v>10647.55</v>
      </c>
      <c r="O110" s="8" t="n">
        <v>46479</v>
      </c>
      <c r="P110" s="9" t="n">
        <f aca="true">TODAY()-J110</f>
        <v>91</v>
      </c>
      <c r="Q110" s="9" t="n">
        <f aca="true">O110-TODAY()</f>
        <v>205</v>
      </c>
    </row>
    <row r="111" customFormat="false" ht="15" hidden="false" customHeight="false" outlineLevel="0" collapsed="false">
      <c r="A111" s="7" t="s">
        <v>1432</v>
      </c>
      <c r="B111" s="7" t="s">
        <v>724</v>
      </c>
      <c r="C111" s="7" t="s">
        <v>725</v>
      </c>
      <c r="D111" s="7" t="s">
        <v>195</v>
      </c>
      <c r="E111" s="7" t="s">
        <v>115</v>
      </c>
      <c r="F111" s="7" t="s">
        <v>128</v>
      </c>
      <c r="G111" s="7" t="s">
        <v>96</v>
      </c>
      <c r="H111" s="7" t="s">
        <v>177</v>
      </c>
      <c r="I111" s="7" t="s">
        <v>178</v>
      </c>
      <c r="J111" s="8" t="n">
        <v>46187</v>
      </c>
      <c r="K111" s="7" t="s">
        <v>1306</v>
      </c>
      <c r="L111" s="11" t="n">
        <v>0.13</v>
      </c>
      <c r="M111" s="10" t="n">
        <v>71770.76</v>
      </c>
      <c r="N111" s="10" t="n">
        <f aca="false">L111*M111</f>
        <v>9330.1988</v>
      </c>
      <c r="O111" s="8" t="n">
        <v>46321</v>
      </c>
      <c r="P111" s="9" t="n">
        <f aca="true">TODAY()-J111</f>
        <v>87</v>
      </c>
      <c r="Q111" s="9" t="n">
        <f aca="true">O111-TODAY()</f>
        <v>47</v>
      </c>
    </row>
    <row r="112" customFormat="false" ht="15" hidden="false" customHeight="false" outlineLevel="0" collapsed="false">
      <c r="A112" s="7" t="s">
        <v>1433</v>
      </c>
      <c r="B112" s="7" t="s">
        <v>388</v>
      </c>
      <c r="C112" s="7" t="s">
        <v>389</v>
      </c>
      <c r="D112" s="7" t="s">
        <v>201</v>
      </c>
      <c r="E112" s="7" t="s">
        <v>94</v>
      </c>
      <c r="F112" s="7" t="s">
        <v>116</v>
      </c>
      <c r="G112" s="7" t="s">
        <v>144</v>
      </c>
      <c r="H112" s="7" t="s">
        <v>231</v>
      </c>
      <c r="I112" s="7" t="s">
        <v>232</v>
      </c>
      <c r="J112" s="8" t="n">
        <v>46190</v>
      </c>
      <c r="K112" s="7" t="s">
        <v>1316</v>
      </c>
      <c r="L112" s="11" t="n">
        <v>0.43</v>
      </c>
      <c r="M112" s="10" t="n">
        <v>55473.44</v>
      </c>
      <c r="N112" s="10" t="n">
        <f aca="false">L112*M112</f>
        <v>23853.5792</v>
      </c>
      <c r="O112" s="8" t="n">
        <v>46334</v>
      </c>
      <c r="P112" s="9" t="n">
        <f aca="true">TODAY()-J112</f>
        <v>84</v>
      </c>
      <c r="Q112" s="9" t="n">
        <f aca="true">O112-TODAY()</f>
        <v>60</v>
      </c>
    </row>
    <row r="113" customFormat="false" ht="15" hidden="false" customHeight="false" outlineLevel="0" collapsed="false">
      <c r="A113" s="7" t="s">
        <v>1434</v>
      </c>
      <c r="B113" s="7" t="s">
        <v>160</v>
      </c>
      <c r="C113" s="7" t="s">
        <v>161</v>
      </c>
      <c r="D113" s="7" t="s">
        <v>151</v>
      </c>
      <c r="E113" s="7" t="s">
        <v>162</v>
      </c>
      <c r="F113" s="7" t="s">
        <v>136</v>
      </c>
      <c r="G113" s="7" t="s">
        <v>137</v>
      </c>
      <c r="H113" s="7" t="s">
        <v>223</v>
      </c>
      <c r="I113" s="7" t="s">
        <v>224</v>
      </c>
      <c r="J113" s="8" t="n">
        <v>46193</v>
      </c>
      <c r="K113" s="7" t="s">
        <v>1316</v>
      </c>
      <c r="L113" s="11" t="n">
        <v>0.47</v>
      </c>
      <c r="M113" s="10" t="n">
        <v>313562.17</v>
      </c>
      <c r="N113" s="10" t="n">
        <f aca="false">L113*M113</f>
        <v>147374.2199</v>
      </c>
      <c r="O113" s="8" t="n">
        <v>46542</v>
      </c>
      <c r="P113" s="9" t="n">
        <f aca="true">TODAY()-J113</f>
        <v>81</v>
      </c>
      <c r="Q113" s="9" t="n">
        <f aca="true">O113-TODAY()</f>
        <v>268</v>
      </c>
    </row>
    <row r="114" customFormat="false" ht="15" hidden="false" customHeight="false" outlineLevel="0" collapsed="false">
      <c r="A114" s="7" t="s">
        <v>1435</v>
      </c>
      <c r="B114" s="7" t="s">
        <v>240</v>
      </c>
      <c r="C114" s="7" t="s">
        <v>241</v>
      </c>
      <c r="D114" s="7" t="s">
        <v>242</v>
      </c>
      <c r="E114" s="7" t="s">
        <v>105</v>
      </c>
      <c r="F114" s="7" t="s">
        <v>143</v>
      </c>
      <c r="G114" s="7" t="s">
        <v>144</v>
      </c>
      <c r="H114" s="7" t="s">
        <v>305</v>
      </c>
      <c r="I114" s="7" t="s">
        <v>306</v>
      </c>
      <c r="J114" s="8" t="n">
        <v>46197</v>
      </c>
      <c r="K114" s="7" t="s">
        <v>1309</v>
      </c>
      <c r="L114" s="11" t="n">
        <v>0.31</v>
      </c>
      <c r="M114" s="10" t="n">
        <v>289945.7</v>
      </c>
      <c r="N114" s="10" t="n">
        <f aca="false">L114*M114</f>
        <v>89883.167</v>
      </c>
      <c r="O114" s="8" t="n">
        <v>46402</v>
      </c>
      <c r="P114" s="9" t="n">
        <f aca="true">TODAY()-J114</f>
        <v>77</v>
      </c>
      <c r="Q114" s="9" t="n">
        <f aca="true">O114-TODAY()</f>
        <v>128</v>
      </c>
    </row>
    <row r="115" customFormat="false" ht="15" hidden="false" customHeight="false" outlineLevel="0" collapsed="false">
      <c r="A115" s="7" t="s">
        <v>1436</v>
      </c>
      <c r="B115" s="7" t="s">
        <v>226</v>
      </c>
      <c r="C115" s="7" t="s">
        <v>227</v>
      </c>
      <c r="D115" s="7" t="s">
        <v>93</v>
      </c>
      <c r="E115" s="7" t="s">
        <v>105</v>
      </c>
      <c r="F115" s="7" t="s">
        <v>106</v>
      </c>
      <c r="G115" s="7" t="s">
        <v>117</v>
      </c>
      <c r="H115" s="7" t="s">
        <v>129</v>
      </c>
      <c r="I115" s="7" t="s">
        <v>130</v>
      </c>
      <c r="J115" s="8" t="n">
        <v>46199</v>
      </c>
      <c r="K115" s="7" t="s">
        <v>1320</v>
      </c>
      <c r="L115" s="11" t="n">
        <v>0.77</v>
      </c>
      <c r="M115" s="10" t="n">
        <v>76256.28</v>
      </c>
      <c r="N115" s="10" t="n">
        <f aca="false">L115*M115</f>
        <v>58717.3356</v>
      </c>
      <c r="O115" s="8" t="n">
        <v>46544</v>
      </c>
      <c r="P115" s="9" t="n">
        <f aca="true">TODAY()-J115</f>
        <v>75</v>
      </c>
      <c r="Q115" s="9" t="n">
        <f aca="true">O115-TODAY()</f>
        <v>270</v>
      </c>
    </row>
    <row r="116" customFormat="false" ht="15" hidden="false" customHeight="false" outlineLevel="0" collapsed="false">
      <c r="A116" s="7" t="s">
        <v>1437</v>
      </c>
      <c r="B116" s="7" t="s">
        <v>369</v>
      </c>
      <c r="C116" s="7" t="s">
        <v>370</v>
      </c>
      <c r="D116" s="7" t="s">
        <v>242</v>
      </c>
      <c r="E116" s="7" t="s">
        <v>115</v>
      </c>
      <c r="F116" s="7" t="s">
        <v>136</v>
      </c>
      <c r="G116" s="7" t="s">
        <v>96</v>
      </c>
      <c r="H116" s="7" t="s">
        <v>223</v>
      </c>
      <c r="I116" s="7" t="s">
        <v>224</v>
      </c>
      <c r="J116" s="8" t="n">
        <v>46202</v>
      </c>
      <c r="K116" s="7" t="s">
        <v>1306</v>
      </c>
      <c r="L116" s="11" t="n">
        <v>0.09</v>
      </c>
      <c r="M116" s="10" t="n">
        <v>95974.1</v>
      </c>
      <c r="N116" s="10" t="n">
        <f aca="false">L116*M116</f>
        <v>8637.669</v>
      </c>
      <c r="O116" s="8" t="n">
        <v>46503</v>
      </c>
      <c r="P116" s="9" t="n">
        <f aca="true">TODAY()-J116</f>
        <v>72</v>
      </c>
      <c r="Q116" s="9" t="n">
        <f aca="true">O116-TODAY()</f>
        <v>229</v>
      </c>
    </row>
    <row r="117" customFormat="false" ht="15" hidden="false" customHeight="false" outlineLevel="0" collapsed="false">
      <c r="A117" s="7" t="s">
        <v>1438</v>
      </c>
      <c r="B117" s="7" t="s">
        <v>424</v>
      </c>
      <c r="C117" s="7" t="s">
        <v>425</v>
      </c>
      <c r="D117" s="7" t="s">
        <v>114</v>
      </c>
      <c r="E117" s="7" t="s">
        <v>115</v>
      </c>
      <c r="F117" s="7" t="s">
        <v>116</v>
      </c>
      <c r="G117" s="7" t="s">
        <v>96</v>
      </c>
      <c r="H117" s="7" t="s">
        <v>145</v>
      </c>
      <c r="I117" s="7" t="s">
        <v>146</v>
      </c>
      <c r="J117" s="8" t="n">
        <v>46203</v>
      </c>
      <c r="K117" s="7" t="s">
        <v>1306</v>
      </c>
      <c r="L117" s="11" t="n">
        <v>0.13</v>
      </c>
      <c r="M117" s="10" t="n">
        <v>157797.24</v>
      </c>
      <c r="N117" s="10" t="n">
        <f aca="false">L117*M117</f>
        <v>20513.6412</v>
      </c>
      <c r="O117" s="8" t="n">
        <v>46286</v>
      </c>
      <c r="P117" s="9" t="n">
        <f aca="true">TODAY()-J117</f>
        <v>71</v>
      </c>
      <c r="Q117" s="9" t="n">
        <f aca="true">O117-TODAY()</f>
        <v>12</v>
      </c>
    </row>
    <row r="118" customFormat="false" ht="15" hidden="false" customHeight="false" outlineLevel="0" collapsed="false">
      <c r="A118" s="7" t="s">
        <v>1439</v>
      </c>
      <c r="B118" s="7" t="s">
        <v>912</v>
      </c>
      <c r="C118" s="7" t="s">
        <v>913</v>
      </c>
      <c r="D118" s="7" t="s">
        <v>151</v>
      </c>
      <c r="E118" s="7" t="s">
        <v>94</v>
      </c>
      <c r="F118" s="7" t="s">
        <v>183</v>
      </c>
      <c r="G118" s="7" t="s">
        <v>176</v>
      </c>
      <c r="H118" s="7" t="s">
        <v>205</v>
      </c>
      <c r="I118" s="7" t="s">
        <v>206</v>
      </c>
      <c r="J118" s="8" t="n">
        <v>46206</v>
      </c>
      <c r="K118" s="7" t="s">
        <v>1316</v>
      </c>
      <c r="L118" s="11" t="n">
        <v>0.45</v>
      </c>
      <c r="M118" s="10" t="n">
        <v>74117.76</v>
      </c>
      <c r="N118" s="10" t="n">
        <f aca="false">L118*M118</f>
        <v>33352.992</v>
      </c>
      <c r="O118" s="8" t="n">
        <v>46494</v>
      </c>
      <c r="P118" s="9" t="n">
        <f aca="true">TODAY()-J118</f>
        <v>68</v>
      </c>
      <c r="Q118" s="9" t="n">
        <f aca="true">O118-TODAY()</f>
        <v>220</v>
      </c>
    </row>
    <row r="119" customFormat="false" ht="15" hidden="false" customHeight="false" outlineLevel="0" collapsed="false">
      <c r="A119" s="7" t="s">
        <v>1440</v>
      </c>
      <c r="B119" s="7" t="s">
        <v>512</v>
      </c>
      <c r="C119" s="7" t="s">
        <v>513</v>
      </c>
      <c r="D119" s="7" t="s">
        <v>114</v>
      </c>
      <c r="E119" s="7" t="s">
        <v>115</v>
      </c>
      <c r="F119" s="7" t="s">
        <v>116</v>
      </c>
      <c r="G119" s="7" t="s">
        <v>184</v>
      </c>
      <c r="H119" s="7" t="s">
        <v>145</v>
      </c>
      <c r="I119" s="7" t="s">
        <v>146</v>
      </c>
      <c r="J119" s="8" t="n">
        <v>46206</v>
      </c>
      <c r="K119" s="7" t="s">
        <v>1309</v>
      </c>
      <c r="L119" s="11" t="n">
        <v>0.24</v>
      </c>
      <c r="M119" s="10" t="n">
        <v>191526.45</v>
      </c>
      <c r="N119" s="10" t="n">
        <f aca="false">L119*M119</f>
        <v>45966.348</v>
      </c>
      <c r="O119" s="8" t="n">
        <v>46330</v>
      </c>
      <c r="P119" s="9" t="n">
        <f aca="true">TODAY()-J119</f>
        <v>68</v>
      </c>
      <c r="Q119" s="9" t="n">
        <f aca="true">O119-TODAY()</f>
        <v>56</v>
      </c>
    </row>
    <row r="120" customFormat="false" ht="15" hidden="false" customHeight="false" outlineLevel="0" collapsed="false">
      <c r="A120" s="7" t="s">
        <v>1441</v>
      </c>
      <c r="B120" s="7" t="s">
        <v>126</v>
      </c>
      <c r="C120" s="7" t="s">
        <v>127</v>
      </c>
      <c r="D120" s="7" t="s">
        <v>104</v>
      </c>
      <c r="E120" s="7" t="s">
        <v>105</v>
      </c>
      <c r="F120" s="7" t="s">
        <v>157</v>
      </c>
      <c r="G120" s="7" t="s">
        <v>137</v>
      </c>
      <c r="H120" s="7" t="s">
        <v>185</v>
      </c>
      <c r="I120" s="7" t="s">
        <v>186</v>
      </c>
      <c r="J120" s="8" t="n">
        <v>46207</v>
      </c>
      <c r="K120" s="7" t="s">
        <v>1306</v>
      </c>
      <c r="L120" s="11" t="n">
        <v>0.07</v>
      </c>
      <c r="M120" s="10" t="n">
        <v>77102.64</v>
      </c>
      <c r="N120" s="10" t="n">
        <f aca="false">L120*M120</f>
        <v>5397.1848</v>
      </c>
      <c r="O120" s="8" t="n">
        <v>46479</v>
      </c>
      <c r="P120" s="9" t="n">
        <f aca="true">TODAY()-J120</f>
        <v>67</v>
      </c>
      <c r="Q120" s="9" t="n">
        <f aca="true">O120-TODAY()</f>
        <v>205</v>
      </c>
    </row>
    <row r="121" customFormat="false" ht="15" hidden="false" customHeight="false" outlineLevel="0" collapsed="false">
      <c r="A121" s="7" t="s">
        <v>1442</v>
      </c>
      <c r="B121" s="7" t="s">
        <v>315</v>
      </c>
      <c r="C121" s="7" t="s">
        <v>316</v>
      </c>
      <c r="D121" s="7" t="s">
        <v>195</v>
      </c>
      <c r="E121" s="7" t="s">
        <v>162</v>
      </c>
      <c r="F121" s="7" t="s">
        <v>157</v>
      </c>
      <c r="G121" s="7" t="s">
        <v>96</v>
      </c>
      <c r="H121" s="7" t="s">
        <v>145</v>
      </c>
      <c r="I121" s="7" t="s">
        <v>146</v>
      </c>
      <c r="J121" s="8" t="n">
        <v>46210</v>
      </c>
      <c r="K121" s="7" t="s">
        <v>1320</v>
      </c>
      <c r="L121" s="11" t="n">
        <v>0.8</v>
      </c>
      <c r="M121" s="10" t="n">
        <v>116682.09</v>
      </c>
      <c r="N121" s="10" t="n">
        <f aca="false">L121*M121</f>
        <v>93345.672</v>
      </c>
      <c r="O121" s="8" t="n">
        <v>46313</v>
      </c>
      <c r="P121" s="9" t="n">
        <f aca="true">TODAY()-J121</f>
        <v>64</v>
      </c>
      <c r="Q121" s="9" t="n">
        <f aca="true">O121-TODAY()</f>
        <v>39</v>
      </c>
    </row>
    <row r="122" customFormat="false" ht="15" hidden="false" customHeight="false" outlineLevel="0" collapsed="false">
      <c r="A122" s="7" t="s">
        <v>1443</v>
      </c>
      <c r="B122" s="7" t="s">
        <v>443</v>
      </c>
      <c r="C122" s="7" t="s">
        <v>444</v>
      </c>
      <c r="D122" s="7" t="s">
        <v>201</v>
      </c>
      <c r="E122" s="7" t="s">
        <v>105</v>
      </c>
      <c r="F122" s="7" t="s">
        <v>143</v>
      </c>
      <c r="G122" s="7" t="s">
        <v>137</v>
      </c>
      <c r="H122" s="7" t="s">
        <v>145</v>
      </c>
      <c r="I122" s="7" t="s">
        <v>146</v>
      </c>
      <c r="J122" s="8" t="n">
        <v>46212</v>
      </c>
      <c r="K122" s="7" t="s">
        <v>1316</v>
      </c>
      <c r="L122" s="11" t="n">
        <v>0.49</v>
      </c>
      <c r="M122" s="10" t="n">
        <v>79883.75</v>
      </c>
      <c r="N122" s="10" t="n">
        <f aca="false">L122*M122</f>
        <v>39143.0375</v>
      </c>
      <c r="O122" s="8" t="n">
        <v>46474</v>
      </c>
      <c r="P122" s="9" t="n">
        <f aca="true">TODAY()-J122</f>
        <v>62</v>
      </c>
      <c r="Q122" s="9" t="n">
        <f aca="true">O122-TODAY()</f>
        <v>200</v>
      </c>
    </row>
    <row r="123" customFormat="false" ht="15" hidden="false" customHeight="false" outlineLevel="0" collapsed="false">
      <c r="A123" s="7" t="s">
        <v>1444</v>
      </c>
      <c r="B123" s="7" t="s">
        <v>1358</v>
      </c>
      <c r="C123" s="7" t="s">
        <v>1359</v>
      </c>
      <c r="D123" s="7" t="s">
        <v>135</v>
      </c>
      <c r="E123" s="7" t="s">
        <v>94</v>
      </c>
      <c r="F123" s="7" t="s">
        <v>183</v>
      </c>
      <c r="G123" s="7" t="s">
        <v>137</v>
      </c>
      <c r="H123" s="7" t="s">
        <v>213</v>
      </c>
      <c r="I123" s="7" t="s">
        <v>214</v>
      </c>
      <c r="J123" s="8" t="n">
        <v>46215</v>
      </c>
      <c r="K123" s="7" t="s">
        <v>1306</v>
      </c>
      <c r="L123" s="11" t="n">
        <v>0.09</v>
      </c>
      <c r="M123" s="10" t="n">
        <v>73712.61</v>
      </c>
      <c r="N123" s="10" t="n">
        <f aca="false">L123*M123</f>
        <v>6634.1349</v>
      </c>
      <c r="O123" s="8" t="n">
        <v>46420</v>
      </c>
      <c r="P123" s="9" t="n">
        <f aca="true">TODAY()-J123</f>
        <v>59</v>
      </c>
      <c r="Q123" s="9" t="n">
        <f aca="true">O123-TODAY()</f>
        <v>146</v>
      </c>
    </row>
    <row r="124" customFormat="false" ht="15" hidden="false" customHeight="false" outlineLevel="0" collapsed="false">
      <c r="A124" s="7" t="s">
        <v>1445</v>
      </c>
      <c r="B124" s="7" t="s">
        <v>291</v>
      </c>
      <c r="C124" s="7" t="s">
        <v>292</v>
      </c>
      <c r="D124" s="7" t="s">
        <v>201</v>
      </c>
      <c r="E124" s="7" t="s">
        <v>94</v>
      </c>
      <c r="F124" s="7" t="s">
        <v>136</v>
      </c>
      <c r="G124" s="7" t="s">
        <v>117</v>
      </c>
      <c r="H124" s="7" t="s">
        <v>180</v>
      </c>
      <c r="I124" s="7" t="s">
        <v>181</v>
      </c>
      <c r="J124" s="8" t="n">
        <v>46217</v>
      </c>
      <c r="K124" s="7" t="s">
        <v>1306</v>
      </c>
      <c r="L124" s="11" t="n">
        <v>0.07</v>
      </c>
      <c r="M124" s="10" t="n">
        <v>97737.38</v>
      </c>
      <c r="N124" s="10" t="n">
        <f aca="false">L124*M124</f>
        <v>6841.6166</v>
      </c>
      <c r="O124" s="8" t="n">
        <v>46543</v>
      </c>
      <c r="P124" s="9" t="n">
        <f aca="true">TODAY()-J124</f>
        <v>57</v>
      </c>
      <c r="Q124" s="9" t="n">
        <f aca="true">O124-TODAY()</f>
        <v>269</v>
      </c>
    </row>
    <row r="125" customFormat="false" ht="15" hidden="false" customHeight="false" outlineLevel="0" collapsed="false">
      <c r="A125" s="7" t="s">
        <v>1446</v>
      </c>
      <c r="B125" s="7" t="s">
        <v>102</v>
      </c>
      <c r="C125" s="7" t="s">
        <v>103</v>
      </c>
      <c r="D125" s="7" t="s">
        <v>104</v>
      </c>
      <c r="E125" s="7" t="s">
        <v>105</v>
      </c>
      <c r="F125" s="7" t="s">
        <v>157</v>
      </c>
      <c r="G125" s="7" t="s">
        <v>176</v>
      </c>
      <c r="H125" s="7" t="s">
        <v>152</v>
      </c>
      <c r="I125" s="7" t="s">
        <v>153</v>
      </c>
      <c r="J125" s="8" t="n">
        <v>46218</v>
      </c>
      <c r="K125" s="7" t="s">
        <v>1316</v>
      </c>
      <c r="L125" s="11" t="n">
        <v>0.47</v>
      </c>
      <c r="M125" s="10" t="n">
        <v>65742.72</v>
      </c>
      <c r="N125" s="10" t="n">
        <f aca="false">L125*M125</f>
        <v>30899.0784</v>
      </c>
      <c r="O125" s="8" t="n">
        <v>46384</v>
      </c>
      <c r="P125" s="9" t="n">
        <f aca="true">TODAY()-J125</f>
        <v>56</v>
      </c>
      <c r="Q125" s="9" t="n">
        <f aca="true">O125-TODAY()</f>
        <v>110</v>
      </c>
    </row>
    <row r="126" customFormat="false" ht="15" hidden="false" customHeight="false" outlineLevel="0" collapsed="false">
      <c r="A126" s="7" t="s">
        <v>1447</v>
      </c>
      <c r="B126" s="7" t="s">
        <v>485</v>
      </c>
      <c r="C126" s="7" t="s">
        <v>486</v>
      </c>
      <c r="D126" s="7" t="s">
        <v>151</v>
      </c>
      <c r="E126" s="7" t="s">
        <v>94</v>
      </c>
      <c r="F126" s="7" t="s">
        <v>136</v>
      </c>
      <c r="G126" s="7" t="s">
        <v>117</v>
      </c>
      <c r="H126" s="7" t="s">
        <v>97</v>
      </c>
      <c r="I126" s="7" t="s">
        <v>98</v>
      </c>
      <c r="J126" s="8" t="n">
        <v>46219</v>
      </c>
      <c r="K126" s="7" t="s">
        <v>1309</v>
      </c>
      <c r="L126" s="11" t="n">
        <v>0.21</v>
      </c>
      <c r="M126" s="10" t="n">
        <v>160964.82</v>
      </c>
      <c r="N126" s="10" t="n">
        <f aca="false">L126*M126</f>
        <v>33802.6122</v>
      </c>
      <c r="O126" s="8" t="n">
        <v>46366</v>
      </c>
      <c r="P126" s="9" t="n">
        <f aca="true">TODAY()-J126</f>
        <v>55</v>
      </c>
      <c r="Q126" s="9" t="n">
        <f aca="true">O126-TODAY()</f>
        <v>92</v>
      </c>
    </row>
    <row r="127" customFormat="false" ht="15" hidden="false" customHeight="false" outlineLevel="0" collapsed="false">
      <c r="A127" s="7" t="s">
        <v>1448</v>
      </c>
      <c r="B127" s="7" t="s">
        <v>321</v>
      </c>
      <c r="C127" s="7" t="s">
        <v>322</v>
      </c>
      <c r="D127" s="7" t="s">
        <v>201</v>
      </c>
      <c r="E127" s="7" t="s">
        <v>94</v>
      </c>
      <c r="F127" s="7" t="s">
        <v>157</v>
      </c>
      <c r="G127" s="7" t="s">
        <v>137</v>
      </c>
      <c r="H127" s="7" t="s">
        <v>205</v>
      </c>
      <c r="I127" s="7" t="s">
        <v>206</v>
      </c>
      <c r="J127" s="8" t="n">
        <v>46224</v>
      </c>
      <c r="K127" s="7" t="s">
        <v>1309</v>
      </c>
      <c r="L127" s="11" t="n">
        <v>0.27</v>
      </c>
      <c r="M127" s="10" t="n">
        <v>81830.08</v>
      </c>
      <c r="N127" s="10" t="n">
        <f aca="false">L127*M127</f>
        <v>22094.1216</v>
      </c>
      <c r="O127" s="8" t="n">
        <v>46522</v>
      </c>
      <c r="P127" s="9" t="n">
        <f aca="true">TODAY()-J127</f>
        <v>50</v>
      </c>
      <c r="Q127" s="9" t="n">
        <f aca="true">O127-TODAY()</f>
        <v>248</v>
      </c>
    </row>
    <row r="128" customFormat="false" ht="15" hidden="false" customHeight="false" outlineLevel="0" collapsed="false">
      <c r="A128" s="7" t="s">
        <v>1449</v>
      </c>
      <c r="B128" s="7" t="s">
        <v>327</v>
      </c>
      <c r="C128" s="7" t="s">
        <v>328</v>
      </c>
      <c r="D128" s="7" t="s">
        <v>201</v>
      </c>
      <c r="E128" s="7" t="s">
        <v>94</v>
      </c>
      <c r="F128" s="7" t="s">
        <v>183</v>
      </c>
      <c r="G128" s="7" t="s">
        <v>137</v>
      </c>
      <c r="H128" s="7" t="s">
        <v>180</v>
      </c>
      <c r="I128" s="7" t="s">
        <v>181</v>
      </c>
      <c r="J128" s="8" t="n">
        <v>46225</v>
      </c>
      <c r="K128" s="7" t="s">
        <v>1320</v>
      </c>
      <c r="L128" s="11" t="n">
        <v>0.79</v>
      </c>
      <c r="M128" s="10" t="n">
        <v>198387.46</v>
      </c>
      <c r="N128" s="10" t="n">
        <f aca="false">L128*M128</f>
        <v>156726.0934</v>
      </c>
      <c r="O128" s="8" t="n">
        <v>46488</v>
      </c>
      <c r="P128" s="9" t="n">
        <f aca="true">TODAY()-J128</f>
        <v>49</v>
      </c>
      <c r="Q128" s="9" t="n">
        <f aca="true">O128-TODAY()</f>
        <v>214</v>
      </c>
    </row>
    <row r="129" customFormat="false" ht="15" hidden="false" customHeight="false" outlineLevel="0" collapsed="false">
      <c r="A129" s="7" t="s">
        <v>1450</v>
      </c>
      <c r="B129" s="7" t="s">
        <v>91</v>
      </c>
      <c r="C129" s="7" t="s">
        <v>92</v>
      </c>
      <c r="D129" s="7" t="s">
        <v>93</v>
      </c>
      <c r="E129" s="7" t="s">
        <v>94</v>
      </c>
      <c r="F129" s="7" t="s">
        <v>128</v>
      </c>
      <c r="G129" s="7" t="s">
        <v>176</v>
      </c>
      <c r="H129" s="7" t="s">
        <v>213</v>
      </c>
      <c r="I129" s="7" t="s">
        <v>214</v>
      </c>
      <c r="J129" s="8" t="n">
        <v>46226</v>
      </c>
      <c r="K129" s="7" t="s">
        <v>1309</v>
      </c>
      <c r="L129" s="11" t="n">
        <v>0.22</v>
      </c>
      <c r="M129" s="10" t="n">
        <v>62225.05</v>
      </c>
      <c r="N129" s="10" t="n">
        <f aca="false">L129*M129</f>
        <v>13689.511</v>
      </c>
      <c r="O129" s="8" t="n">
        <v>46517</v>
      </c>
      <c r="P129" s="9" t="n">
        <f aca="true">TODAY()-J129</f>
        <v>48</v>
      </c>
      <c r="Q129" s="9" t="n">
        <f aca="true">O129-TODAY()</f>
        <v>243</v>
      </c>
    </row>
    <row r="130" customFormat="false" ht="15" hidden="false" customHeight="false" outlineLevel="0" collapsed="false">
      <c r="A130" s="7" t="s">
        <v>1451</v>
      </c>
      <c r="B130" s="7" t="s">
        <v>595</v>
      </c>
      <c r="C130" s="7" t="s">
        <v>596</v>
      </c>
      <c r="D130" s="7" t="s">
        <v>135</v>
      </c>
      <c r="E130" s="7" t="s">
        <v>94</v>
      </c>
      <c r="F130" s="7" t="s">
        <v>143</v>
      </c>
      <c r="G130" s="7" t="s">
        <v>96</v>
      </c>
      <c r="H130" s="7" t="s">
        <v>281</v>
      </c>
      <c r="I130" s="7" t="s">
        <v>282</v>
      </c>
      <c r="J130" s="8" t="n">
        <v>46226</v>
      </c>
      <c r="K130" s="7" t="s">
        <v>1316</v>
      </c>
      <c r="L130" s="11" t="n">
        <v>0.49</v>
      </c>
      <c r="M130" s="10" t="n">
        <v>83111.47</v>
      </c>
      <c r="N130" s="10" t="n">
        <f aca="false">L130*M130</f>
        <v>40724.6203</v>
      </c>
      <c r="O130" s="8" t="n">
        <v>46302</v>
      </c>
      <c r="P130" s="9" t="n">
        <f aca="true">TODAY()-J130</f>
        <v>48</v>
      </c>
      <c r="Q130" s="9" t="n">
        <f aca="true">O130-TODAY()</f>
        <v>28</v>
      </c>
    </row>
    <row r="131" customFormat="false" ht="15" hidden="false" customHeight="false" outlineLevel="0" collapsed="false">
      <c r="A131" s="7" t="s">
        <v>1452</v>
      </c>
      <c r="B131" s="7" t="s">
        <v>395</v>
      </c>
      <c r="C131" s="7" t="s">
        <v>396</v>
      </c>
      <c r="D131" s="7" t="s">
        <v>195</v>
      </c>
      <c r="E131" s="7" t="s">
        <v>162</v>
      </c>
      <c r="F131" s="7" t="s">
        <v>95</v>
      </c>
      <c r="G131" s="7" t="s">
        <v>96</v>
      </c>
      <c r="H131" s="7" t="s">
        <v>258</v>
      </c>
      <c r="I131" s="7" t="s">
        <v>259</v>
      </c>
      <c r="J131" s="8" t="n">
        <v>46228</v>
      </c>
      <c r="K131" s="7" t="s">
        <v>1320</v>
      </c>
      <c r="L131" s="11" t="n">
        <v>0.67</v>
      </c>
      <c r="M131" s="10" t="n">
        <v>39006.21</v>
      </c>
      <c r="N131" s="10" t="n">
        <f aca="false">L131*M131</f>
        <v>26134.1607</v>
      </c>
      <c r="O131" s="8" t="n">
        <v>46342</v>
      </c>
      <c r="P131" s="9" t="n">
        <f aca="true">TODAY()-J131</f>
        <v>46</v>
      </c>
      <c r="Q131" s="9" t="n">
        <f aca="true">O131-TODAY()</f>
        <v>68</v>
      </c>
    </row>
    <row r="132" customFormat="false" ht="15" hidden="false" customHeight="false" outlineLevel="0" collapsed="false">
      <c r="A132" s="7" t="s">
        <v>1453</v>
      </c>
      <c r="B132" s="7" t="s">
        <v>221</v>
      </c>
      <c r="C132" s="7" t="s">
        <v>222</v>
      </c>
      <c r="D132" s="7" t="s">
        <v>135</v>
      </c>
      <c r="E132" s="7" t="s">
        <v>162</v>
      </c>
      <c r="F132" s="7" t="s">
        <v>157</v>
      </c>
      <c r="G132" s="7" t="s">
        <v>144</v>
      </c>
      <c r="H132" s="7" t="s">
        <v>145</v>
      </c>
      <c r="I132" s="7" t="s">
        <v>146</v>
      </c>
      <c r="J132" s="8" t="n">
        <v>46230</v>
      </c>
      <c r="K132" s="7" t="s">
        <v>1309</v>
      </c>
      <c r="L132" s="11" t="n">
        <v>0.2</v>
      </c>
      <c r="M132" s="10" t="n">
        <v>34238.37</v>
      </c>
      <c r="N132" s="10" t="n">
        <f aca="false">L132*M132</f>
        <v>6847.674</v>
      </c>
      <c r="O132" s="8" t="n">
        <v>46382</v>
      </c>
      <c r="P132" s="9" t="n">
        <f aca="true">TODAY()-J132</f>
        <v>44</v>
      </c>
      <c r="Q132" s="9" t="n">
        <f aca="true">O132-TODAY()</f>
        <v>108</v>
      </c>
    </row>
    <row r="133" customFormat="false" ht="15" hidden="false" customHeight="false" outlineLevel="0" collapsed="false">
      <c r="A133" s="7" t="s">
        <v>1454</v>
      </c>
      <c r="B133" s="7" t="s">
        <v>1455</v>
      </c>
      <c r="C133" s="7" t="s">
        <v>1456</v>
      </c>
      <c r="D133" s="7" t="s">
        <v>114</v>
      </c>
      <c r="E133" s="7" t="s">
        <v>162</v>
      </c>
      <c r="F133" s="7" t="s">
        <v>128</v>
      </c>
      <c r="G133" s="7" t="s">
        <v>117</v>
      </c>
      <c r="H133" s="7" t="s">
        <v>305</v>
      </c>
      <c r="I133" s="7" t="s">
        <v>306</v>
      </c>
      <c r="J133" s="8" t="n">
        <v>46232</v>
      </c>
      <c r="K133" s="7" t="s">
        <v>1316</v>
      </c>
      <c r="L133" s="11" t="n">
        <v>0.51</v>
      </c>
      <c r="M133" s="10" t="n">
        <v>65908.27</v>
      </c>
      <c r="N133" s="10" t="n">
        <f aca="false">L133*M133</f>
        <v>33613.2177</v>
      </c>
      <c r="O133" s="8" t="n">
        <v>46404</v>
      </c>
      <c r="P133" s="9" t="n">
        <f aca="true">TODAY()-J133</f>
        <v>42</v>
      </c>
      <c r="Q133" s="9" t="n">
        <f aca="true">O133-TODAY()</f>
        <v>130</v>
      </c>
    </row>
    <row r="134" customFormat="false" ht="15" hidden="false" customHeight="false" outlineLevel="0" collapsed="false">
      <c r="A134" s="7" t="s">
        <v>1457</v>
      </c>
      <c r="B134" s="7" t="s">
        <v>211</v>
      </c>
      <c r="C134" s="7" t="s">
        <v>212</v>
      </c>
      <c r="D134" s="7" t="s">
        <v>201</v>
      </c>
      <c r="E134" s="7" t="s">
        <v>105</v>
      </c>
      <c r="F134" s="7" t="s">
        <v>157</v>
      </c>
      <c r="G134" s="7" t="s">
        <v>96</v>
      </c>
      <c r="H134" s="7" t="s">
        <v>108</v>
      </c>
      <c r="I134" s="7" t="s">
        <v>109</v>
      </c>
      <c r="J134" s="8" t="n">
        <v>46234</v>
      </c>
      <c r="K134" s="7" t="s">
        <v>1309</v>
      </c>
      <c r="L134" s="11" t="n">
        <v>0.2</v>
      </c>
      <c r="M134" s="10" t="n">
        <v>72197.42</v>
      </c>
      <c r="N134" s="10" t="n">
        <f aca="false">L134*M134</f>
        <v>14439.484</v>
      </c>
      <c r="O134" s="8" t="n">
        <v>46380</v>
      </c>
      <c r="P134" s="9" t="n">
        <f aca="true">TODAY()-J134</f>
        <v>40</v>
      </c>
      <c r="Q134" s="9" t="n">
        <f aca="true">O134-TODAY()</f>
        <v>106</v>
      </c>
    </row>
    <row r="135" customFormat="false" ht="15" hidden="false" customHeight="false" outlineLevel="0" collapsed="false">
      <c r="A135" s="7" t="s">
        <v>1458</v>
      </c>
      <c r="B135" s="7" t="s">
        <v>226</v>
      </c>
      <c r="C135" s="7" t="s">
        <v>227</v>
      </c>
      <c r="D135" s="7" t="s">
        <v>93</v>
      </c>
      <c r="E135" s="7" t="s">
        <v>105</v>
      </c>
      <c r="F135" s="7" t="s">
        <v>95</v>
      </c>
      <c r="G135" s="7" t="s">
        <v>107</v>
      </c>
      <c r="H135" s="7" t="s">
        <v>205</v>
      </c>
      <c r="I135" s="7" t="s">
        <v>206</v>
      </c>
      <c r="J135" s="8" t="n">
        <v>46238</v>
      </c>
      <c r="K135" s="7" t="s">
        <v>1309</v>
      </c>
      <c r="L135" s="11" t="n">
        <v>0.23</v>
      </c>
      <c r="M135" s="10" t="n">
        <v>85289.92</v>
      </c>
      <c r="N135" s="10" t="n">
        <f aca="false">L135*M135</f>
        <v>19616.6816</v>
      </c>
      <c r="O135" s="8" t="n">
        <v>46340</v>
      </c>
      <c r="P135" s="9" t="n">
        <f aca="true">TODAY()-J135</f>
        <v>36</v>
      </c>
      <c r="Q135" s="9" t="n">
        <f aca="true">O135-TODAY()</f>
        <v>66</v>
      </c>
    </row>
    <row r="136" customFormat="false" ht="15" hidden="false" customHeight="false" outlineLevel="0" collapsed="false">
      <c r="A136" s="7" t="s">
        <v>1459</v>
      </c>
      <c r="B136" s="7" t="s">
        <v>149</v>
      </c>
      <c r="C136" s="7" t="s">
        <v>150</v>
      </c>
      <c r="D136" s="7" t="s">
        <v>151</v>
      </c>
      <c r="E136" s="7" t="s">
        <v>94</v>
      </c>
      <c r="F136" s="7" t="s">
        <v>136</v>
      </c>
      <c r="G136" s="7" t="s">
        <v>137</v>
      </c>
      <c r="H136" s="7" t="s">
        <v>108</v>
      </c>
      <c r="I136" s="7" t="s">
        <v>109</v>
      </c>
      <c r="J136" s="8" t="n">
        <v>46238</v>
      </c>
      <c r="K136" s="7" t="s">
        <v>1306</v>
      </c>
      <c r="L136" s="11" t="n">
        <v>0.16</v>
      </c>
      <c r="M136" s="10" t="n">
        <v>131656.11</v>
      </c>
      <c r="N136" s="10" t="n">
        <f aca="false">L136*M136</f>
        <v>21064.9776</v>
      </c>
      <c r="O136" s="8" t="n">
        <v>46547</v>
      </c>
      <c r="P136" s="9" t="n">
        <f aca="true">TODAY()-J136</f>
        <v>36</v>
      </c>
      <c r="Q136" s="9" t="n">
        <f aca="true">O136-TODAY()</f>
        <v>273</v>
      </c>
    </row>
    <row r="137" customFormat="false" ht="15" hidden="false" customHeight="false" outlineLevel="0" collapsed="false">
      <c r="A137" s="7" t="s">
        <v>1460</v>
      </c>
      <c r="B137" s="7" t="s">
        <v>126</v>
      </c>
      <c r="C137" s="7" t="s">
        <v>127</v>
      </c>
      <c r="D137" s="7" t="s">
        <v>104</v>
      </c>
      <c r="E137" s="7" t="s">
        <v>105</v>
      </c>
      <c r="F137" s="7" t="s">
        <v>116</v>
      </c>
      <c r="G137" s="7" t="s">
        <v>176</v>
      </c>
      <c r="H137" s="7" t="s">
        <v>108</v>
      </c>
      <c r="I137" s="7" t="s">
        <v>109</v>
      </c>
      <c r="J137" s="8" t="n">
        <v>46245</v>
      </c>
      <c r="K137" s="7" t="s">
        <v>1309</v>
      </c>
      <c r="L137" s="11" t="n">
        <v>0.28</v>
      </c>
      <c r="M137" s="10" t="n">
        <v>354445.91</v>
      </c>
      <c r="N137" s="10" t="n">
        <f aca="false">L137*M137</f>
        <v>99244.8548</v>
      </c>
      <c r="O137" s="8" t="n">
        <v>46458</v>
      </c>
      <c r="P137" s="9" t="n">
        <f aca="true">TODAY()-J137</f>
        <v>29</v>
      </c>
      <c r="Q137" s="9" t="n">
        <f aca="true">O137-TODAY()</f>
        <v>184</v>
      </c>
    </row>
    <row r="138" customFormat="false" ht="15" hidden="false" customHeight="false" outlineLevel="0" collapsed="false">
      <c r="A138" s="7" t="s">
        <v>1461</v>
      </c>
      <c r="B138" s="7" t="s">
        <v>437</v>
      </c>
      <c r="C138" s="7" t="s">
        <v>438</v>
      </c>
      <c r="D138" s="7" t="s">
        <v>104</v>
      </c>
      <c r="E138" s="7" t="s">
        <v>94</v>
      </c>
      <c r="F138" s="7" t="s">
        <v>143</v>
      </c>
      <c r="G138" s="7" t="s">
        <v>107</v>
      </c>
      <c r="H138" s="7" t="s">
        <v>231</v>
      </c>
      <c r="I138" s="7" t="s">
        <v>232</v>
      </c>
      <c r="J138" s="8" t="n">
        <v>46246</v>
      </c>
      <c r="K138" s="7" t="s">
        <v>1306</v>
      </c>
      <c r="L138" s="11" t="n">
        <v>0.11</v>
      </c>
      <c r="M138" s="10" t="n">
        <v>64444.67</v>
      </c>
      <c r="N138" s="10" t="n">
        <f aca="false">L138*M138</f>
        <v>7088.9137</v>
      </c>
      <c r="O138" s="8" t="n">
        <v>46399</v>
      </c>
      <c r="P138" s="9" t="n">
        <f aca="true">TODAY()-J138</f>
        <v>28</v>
      </c>
      <c r="Q138" s="9" t="n">
        <f aca="true">O138-TODAY()</f>
        <v>125</v>
      </c>
    </row>
    <row r="139" customFormat="false" ht="15" hidden="false" customHeight="false" outlineLevel="0" collapsed="false">
      <c r="A139" s="7" t="s">
        <v>1462</v>
      </c>
      <c r="B139" s="7" t="s">
        <v>929</v>
      </c>
      <c r="C139" s="7" t="s">
        <v>930</v>
      </c>
      <c r="D139" s="7" t="s">
        <v>151</v>
      </c>
      <c r="E139" s="7" t="s">
        <v>115</v>
      </c>
      <c r="F139" s="7" t="s">
        <v>157</v>
      </c>
      <c r="G139" s="7" t="s">
        <v>176</v>
      </c>
      <c r="H139" s="7" t="s">
        <v>223</v>
      </c>
      <c r="I139" s="7" t="s">
        <v>224</v>
      </c>
      <c r="J139" s="8" t="n">
        <v>46247</v>
      </c>
      <c r="K139" s="7" t="s">
        <v>1320</v>
      </c>
      <c r="L139" s="11" t="n">
        <v>0.74</v>
      </c>
      <c r="M139" s="10" t="n">
        <v>67923.68</v>
      </c>
      <c r="N139" s="10" t="n">
        <f aca="false">L139*M139</f>
        <v>50263.5232</v>
      </c>
      <c r="O139" s="8" t="n">
        <v>46506</v>
      </c>
      <c r="P139" s="9" t="n">
        <f aca="true">TODAY()-J139</f>
        <v>27</v>
      </c>
      <c r="Q139" s="9" t="n">
        <f aca="true">O139-TODAY()</f>
        <v>232</v>
      </c>
    </row>
    <row r="140" customFormat="false" ht="15" hidden="false" customHeight="false" outlineLevel="0" collapsed="false">
      <c r="A140" s="7" t="s">
        <v>1463</v>
      </c>
      <c r="B140" s="7" t="s">
        <v>525</v>
      </c>
      <c r="C140" s="7" t="s">
        <v>526</v>
      </c>
      <c r="D140" s="7" t="s">
        <v>114</v>
      </c>
      <c r="E140" s="7" t="s">
        <v>105</v>
      </c>
      <c r="F140" s="7" t="s">
        <v>143</v>
      </c>
      <c r="G140" s="7" t="s">
        <v>117</v>
      </c>
      <c r="H140" s="7" t="s">
        <v>145</v>
      </c>
      <c r="I140" s="7" t="s">
        <v>146</v>
      </c>
      <c r="J140" s="8" t="n">
        <v>46248</v>
      </c>
      <c r="K140" s="7" t="s">
        <v>1309</v>
      </c>
      <c r="L140" s="11" t="n">
        <v>0.21</v>
      </c>
      <c r="M140" s="10" t="n">
        <v>73282.66</v>
      </c>
      <c r="N140" s="10" t="n">
        <f aca="false">L140*M140</f>
        <v>15389.3586</v>
      </c>
      <c r="O140" s="8" t="n">
        <v>46363</v>
      </c>
      <c r="P140" s="9" t="n">
        <f aca="true">TODAY()-J140</f>
        <v>26</v>
      </c>
      <c r="Q140" s="9" t="n">
        <f aca="true">O140-TODAY()</f>
        <v>89</v>
      </c>
    </row>
    <row r="141" customFormat="false" ht="15" hidden="false" customHeight="false" outlineLevel="0" collapsed="false">
      <c r="A141" s="7" t="s">
        <v>1464</v>
      </c>
      <c r="B141" s="7" t="s">
        <v>102</v>
      </c>
      <c r="C141" s="7" t="s">
        <v>103</v>
      </c>
      <c r="D141" s="7" t="s">
        <v>104</v>
      </c>
      <c r="E141" s="7" t="s">
        <v>105</v>
      </c>
      <c r="F141" s="7" t="s">
        <v>128</v>
      </c>
      <c r="G141" s="7" t="s">
        <v>107</v>
      </c>
      <c r="H141" s="7" t="s">
        <v>177</v>
      </c>
      <c r="I141" s="7" t="s">
        <v>178</v>
      </c>
      <c r="J141" s="8" t="n">
        <v>46249</v>
      </c>
      <c r="K141" s="7" t="s">
        <v>1316</v>
      </c>
      <c r="L141" s="11" t="n">
        <v>0.48</v>
      </c>
      <c r="M141" s="10" t="n">
        <v>149902.19</v>
      </c>
      <c r="N141" s="10" t="n">
        <f aca="false">L141*M141</f>
        <v>71953.0512</v>
      </c>
      <c r="O141" s="8" t="n">
        <v>46452</v>
      </c>
      <c r="P141" s="9" t="n">
        <f aca="true">TODAY()-J141</f>
        <v>25</v>
      </c>
      <c r="Q141" s="9" t="n">
        <f aca="true">O141-TODAY()</f>
        <v>178</v>
      </c>
    </row>
    <row r="142" customFormat="false" ht="15" hidden="false" customHeight="false" outlineLevel="0" collapsed="false">
      <c r="A142" s="7" t="s">
        <v>1465</v>
      </c>
      <c r="B142" s="7" t="s">
        <v>330</v>
      </c>
      <c r="C142" s="7" t="s">
        <v>331</v>
      </c>
      <c r="D142" s="7" t="s">
        <v>242</v>
      </c>
      <c r="E142" s="7" t="s">
        <v>162</v>
      </c>
      <c r="F142" s="7" t="s">
        <v>183</v>
      </c>
      <c r="G142" s="7" t="s">
        <v>176</v>
      </c>
      <c r="H142" s="7" t="s">
        <v>138</v>
      </c>
      <c r="I142" s="7" t="s">
        <v>139</v>
      </c>
      <c r="J142" s="8" t="n">
        <v>46251</v>
      </c>
      <c r="K142" s="7" t="s">
        <v>1306</v>
      </c>
      <c r="L142" s="11" t="n">
        <v>0.03</v>
      </c>
      <c r="M142" s="10" t="n">
        <v>36773.91</v>
      </c>
      <c r="N142" s="10" t="n">
        <f aca="false">L142*M142</f>
        <v>1103.2173</v>
      </c>
      <c r="O142" s="8" t="n">
        <v>46360</v>
      </c>
      <c r="P142" s="9" t="n">
        <f aca="true">TODAY()-J142</f>
        <v>23</v>
      </c>
      <c r="Q142" s="9" t="n">
        <f aca="true">O142-TODAY()</f>
        <v>86</v>
      </c>
    </row>
    <row r="143" customFormat="false" ht="15" hidden="false" customHeight="false" outlineLevel="0" collapsed="false">
      <c r="A143" s="7" t="s">
        <v>1466</v>
      </c>
      <c r="B143" s="7" t="s">
        <v>226</v>
      </c>
      <c r="C143" s="7" t="s">
        <v>227</v>
      </c>
      <c r="D143" s="7" t="s">
        <v>93</v>
      </c>
      <c r="E143" s="7" t="s">
        <v>105</v>
      </c>
      <c r="F143" s="7" t="s">
        <v>157</v>
      </c>
      <c r="G143" s="7" t="s">
        <v>176</v>
      </c>
      <c r="H143" s="7" t="s">
        <v>108</v>
      </c>
      <c r="I143" s="7" t="s">
        <v>109</v>
      </c>
      <c r="J143" s="8" t="n">
        <v>46251</v>
      </c>
      <c r="K143" s="7" t="s">
        <v>1309</v>
      </c>
      <c r="L143" s="11" t="n">
        <v>0.3</v>
      </c>
      <c r="M143" s="10" t="n">
        <v>129193.18</v>
      </c>
      <c r="N143" s="10" t="n">
        <f aca="false">L143*M143</f>
        <v>38757.954</v>
      </c>
      <c r="O143" s="8" t="n">
        <v>46384</v>
      </c>
      <c r="P143" s="9" t="n">
        <f aca="true">TODAY()-J143</f>
        <v>23</v>
      </c>
      <c r="Q143" s="9" t="n">
        <f aca="true">O143-TODAY()</f>
        <v>110</v>
      </c>
    </row>
    <row r="144" customFormat="false" ht="15" hidden="false" customHeight="false" outlineLevel="0" collapsed="false">
      <c r="A144" s="7" t="s">
        <v>1467</v>
      </c>
      <c r="B144" s="7" t="s">
        <v>208</v>
      </c>
      <c r="C144" s="7" t="s">
        <v>209</v>
      </c>
      <c r="D144" s="7" t="s">
        <v>114</v>
      </c>
      <c r="E144" s="7" t="s">
        <v>162</v>
      </c>
      <c r="F144" s="7" t="s">
        <v>128</v>
      </c>
      <c r="G144" s="7" t="s">
        <v>176</v>
      </c>
      <c r="H144" s="7" t="s">
        <v>281</v>
      </c>
      <c r="I144" s="7" t="s">
        <v>282</v>
      </c>
      <c r="J144" s="8" t="n">
        <v>46252</v>
      </c>
      <c r="K144" s="7" t="s">
        <v>1309</v>
      </c>
      <c r="L144" s="11" t="n">
        <v>0.22</v>
      </c>
      <c r="M144" s="10" t="n">
        <v>35672.81</v>
      </c>
      <c r="N144" s="10" t="n">
        <f aca="false">L144*M144</f>
        <v>7848.0182</v>
      </c>
      <c r="O144" s="8" t="n">
        <v>46438</v>
      </c>
      <c r="P144" s="9" t="n">
        <f aca="true">TODAY()-J144</f>
        <v>22</v>
      </c>
      <c r="Q144" s="9" t="n">
        <f aca="true">O144-TODAY()</f>
        <v>164</v>
      </c>
    </row>
    <row r="145" customFormat="false" ht="15" hidden="false" customHeight="false" outlineLevel="0" collapsed="false">
      <c r="A145" s="7" t="s">
        <v>1468</v>
      </c>
      <c r="B145" s="7" t="s">
        <v>388</v>
      </c>
      <c r="C145" s="7" t="s">
        <v>389</v>
      </c>
      <c r="D145" s="7" t="s">
        <v>201</v>
      </c>
      <c r="E145" s="7" t="s">
        <v>94</v>
      </c>
      <c r="F145" s="7" t="s">
        <v>116</v>
      </c>
      <c r="G145" s="7" t="s">
        <v>144</v>
      </c>
      <c r="H145" s="7" t="s">
        <v>185</v>
      </c>
      <c r="I145" s="7" t="s">
        <v>186</v>
      </c>
      <c r="J145" s="8" t="n">
        <v>46255</v>
      </c>
      <c r="K145" s="7" t="s">
        <v>1309</v>
      </c>
      <c r="L145" s="11" t="n">
        <v>0.29</v>
      </c>
      <c r="M145" s="10" t="n">
        <v>76555.46</v>
      </c>
      <c r="N145" s="10" t="n">
        <f aca="false">L145*M145</f>
        <v>22201.0834</v>
      </c>
      <c r="O145" s="8" t="n">
        <v>46303</v>
      </c>
      <c r="P145" s="9" t="n">
        <f aca="true">TODAY()-J145</f>
        <v>19</v>
      </c>
      <c r="Q145" s="9" t="n">
        <f aca="true">O145-TODAY()</f>
        <v>29</v>
      </c>
    </row>
    <row r="146" customFormat="false" ht="15" hidden="false" customHeight="false" outlineLevel="0" collapsed="false">
      <c r="A146" s="7" t="s">
        <v>1469</v>
      </c>
      <c r="B146" s="7" t="s">
        <v>350</v>
      </c>
      <c r="C146" s="7" t="s">
        <v>351</v>
      </c>
      <c r="D146" s="7" t="s">
        <v>242</v>
      </c>
      <c r="E146" s="7" t="s">
        <v>162</v>
      </c>
      <c r="F146" s="7" t="s">
        <v>183</v>
      </c>
      <c r="G146" s="7" t="s">
        <v>176</v>
      </c>
      <c r="H146" s="7" t="s">
        <v>281</v>
      </c>
      <c r="I146" s="7" t="s">
        <v>282</v>
      </c>
      <c r="J146" s="8" t="n">
        <v>46257</v>
      </c>
      <c r="K146" s="7" t="s">
        <v>1316</v>
      </c>
      <c r="L146" s="11" t="n">
        <v>0.45</v>
      </c>
      <c r="M146" s="10" t="n">
        <v>45784.41</v>
      </c>
      <c r="N146" s="10" t="n">
        <f aca="false">L146*M146</f>
        <v>20602.9845</v>
      </c>
      <c r="O146" s="8" t="n">
        <v>46393</v>
      </c>
      <c r="P146" s="9" t="n">
        <f aca="true">TODAY()-J146</f>
        <v>17</v>
      </c>
      <c r="Q146" s="9" t="n">
        <f aca="true">O146-TODAY()</f>
        <v>119</v>
      </c>
    </row>
    <row r="147" customFormat="false" ht="15" hidden="false" customHeight="false" outlineLevel="0" collapsed="false">
      <c r="A147" s="7" t="s">
        <v>1470</v>
      </c>
      <c r="B147" s="7" t="s">
        <v>871</v>
      </c>
      <c r="C147" s="7" t="s">
        <v>872</v>
      </c>
      <c r="D147" s="7" t="s">
        <v>114</v>
      </c>
      <c r="E147" s="7" t="s">
        <v>105</v>
      </c>
      <c r="F147" s="7" t="s">
        <v>136</v>
      </c>
      <c r="G147" s="7" t="s">
        <v>184</v>
      </c>
      <c r="H147" s="7" t="s">
        <v>138</v>
      </c>
      <c r="I147" s="7" t="s">
        <v>139</v>
      </c>
      <c r="J147" s="8" t="n">
        <v>46258</v>
      </c>
      <c r="K147" s="7" t="s">
        <v>1309</v>
      </c>
      <c r="L147" s="11" t="n">
        <v>0.22</v>
      </c>
      <c r="M147" s="10" t="n">
        <v>48638.01</v>
      </c>
      <c r="N147" s="10" t="n">
        <f aca="false">L147*M147</f>
        <v>10700.3622</v>
      </c>
      <c r="O147" s="8" t="n">
        <v>46325</v>
      </c>
      <c r="P147" s="9" t="n">
        <f aca="true">TODAY()-J147</f>
        <v>16</v>
      </c>
      <c r="Q147" s="9" t="n">
        <f aca="true">O147-TODAY()</f>
        <v>51</v>
      </c>
    </row>
    <row r="148" customFormat="false" ht="15" hidden="false" customHeight="false" outlineLevel="0" collapsed="false">
      <c r="A148" s="7" t="s">
        <v>1471</v>
      </c>
      <c r="B148" s="7" t="s">
        <v>268</v>
      </c>
      <c r="C148" s="7" t="s">
        <v>269</v>
      </c>
      <c r="D148" s="7" t="s">
        <v>104</v>
      </c>
      <c r="E148" s="7" t="s">
        <v>105</v>
      </c>
      <c r="F148" s="7" t="s">
        <v>143</v>
      </c>
      <c r="G148" s="7" t="s">
        <v>107</v>
      </c>
      <c r="H148" s="7" t="s">
        <v>97</v>
      </c>
      <c r="I148" s="7" t="s">
        <v>98</v>
      </c>
      <c r="J148" s="8" t="n">
        <v>46259</v>
      </c>
      <c r="K148" s="7" t="s">
        <v>1309</v>
      </c>
      <c r="L148" s="11" t="n">
        <v>0.36</v>
      </c>
      <c r="M148" s="10" t="n">
        <v>102030.77</v>
      </c>
      <c r="N148" s="10" t="n">
        <f aca="false">L148*M148</f>
        <v>36731.0772</v>
      </c>
      <c r="O148" s="8" t="n">
        <v>46286</v>
      </c>
      <c r="P148" s="9" t="n">
        <f aca="true">TODAY()-J148</f>
        <v>15</v>
      </c>
      <c r="Q148" s="9" t="n">
        <f aca="true">O148-TODAY()</f>
        <v>12</v>
      </c>
    </row>
    <row r="149" customFormat="false" ht="15" hidden="false" customHeight="false" outlineLevel="0" collapsed="false">
      <c r="A149" s="7" t="s">
        <v>1472</v>
      </c>
      <c r="B149" s="7" t="s">
        <v>546</v>
      </c>
      <c r="C149" s="7" t="s">
        <v>547</v>
      </c>
      <c r="D149" s="7" t="s">
        <v>201</v>
      </c>
      <c r="E149" s="7" t="s">
        <v>105</v>
      </c>
      <c r="F149" s="7" t="s">
        <v>157</v>
      </c>
      <c r="G149" s="7" t="s">
        <v>107</v>
      </c>
      <c r="H149" s="7" t="s">
        <v>196</v>
      </c>
      <c r="I149" s="7" t="s">
        <v>197</v>
      </c>
      <c r="J149" s="8" t="n">
        <v>46260</v>
      </c>
      <c r="K149" s="7" t="s">
        <v>1316</v>
      </c>
      <c r="L149" s="11" t="n">
        <v>0.55</v>
      </c>
      <c r="M149" s="10" t="n">
        <v>58948.26</v>
      </c>
      <c r="N149" s="10" t="n">
        <f aca="false">L149*M149</f>
        <v>32421.543</v>
      </c>
      <c r="O149" s="8" t="n">
        <v>46543</v>
      </c>
      <c r="P149" s="9" t="n">
        <f aca="true">TODAY()-J149</f>
        <v>14</v>
      </c>
      <c r="Q149" s="9" t="n">
        <f aca="true">O149-TODAY()</f>
        <v>269</v>
      </c>
    </row>
    <row r="150" customFormat="false" ht="15" hidden="false" customHeight="false" outlineLevel="0" collapsed="false">
      <c r="A150" s="7" t="s">
        <v>1473</v>
      </c>
      <c r="B150" s="7" t="s">
        <v>237</v>
      </c>
      <c r="C150" s="7" t="s">
        <v>238</v>
      </c>
      <c r="D150" s="7" t="s">
        <v>195</v>
      </c>
      <c r="E150" s="7" t="s">
        <v>94</v>
      </c>
      <c r="F150" s="7" t="s">
        <v>95</v>
      </c>
      <c r="G150" s="7" t="s">
        <v>184</v>
      </c>
      <c r="H150" s="7" t="s">
        <v>108</v>
      </c>
      <c r="I150" s="7" t="s">
        <v>109</v>
      </c>
      <c r="J150" s="8" t="n">
        <v>46268</v>
      </c>
      <c r="K150" s="7" t="s">
        <v>1306</v>
      </c>
      <c r="L150" s="11" t="n">
        <v>0.15</v>
      </c>
      <c r="M150" s="10" t="n">
        <v>449505.15</v>
      </c>
      <c r="N150" s="10" t="n">
        <f aca="false">L150*M150</f>
        <v>67425.7725</v>
      </c>
      <c r="O150" s="8" t="n">
        <v>46357</v>
      </c>
      <c r="P150" s="9" t="n">
        <f aca="true">TODAY()-J150</f>
        <v>6</v>
      </c>
      <c r="Q150" s="9" t="n">
        <f aca="true">O150-TODAY()</f>
        <v>83</v>
      </c>
    </row>
    <row r="151" customFormat="false" ht="15" hidden="false" customHeight="false" outlineLevel="0" collapsed="false">
      <c r="A151" s="7" t="s">
        <v>1474</v>
      </c>
      <c r="B151" s="7" t="s">
        <v>674</v>
      </c>
      <c r="C151" s="7" t="s">
        <v>675</v>
      </c>
      <c r="D151" s="7" t="s">
        <v>151</v>
      </c>
      <c r="E151" s="7" t="s">
        <v>105</v>
      </c>
      <c r="F151" s="7" t="s">
        <v>136</v>
      </c>
      <c r="G151" s="7" t="s">
        <v>117</v>
      </c>
      <c r="H151" s="7" t="s">
        <v>270</v>
      </c>
      <c r="I151" s="7" t="s">
        <v>271</v>
      </c>
      <c r="J151" s="8" t="n">
        <v>46270</v>
      </c>
      <c r="K151" s="7" t="s">
        <v>1306</v>
      </c>
      <c r="L151" s="11" t="n">
        <v>0.13</v>
      </c>
      <c r="M151" s="10" t="n">
        <v>171672.4</v>
      </c>
      <c r="N151" s="10" t="n">
        <f aca="false">L151*M151</f>
        <v>22317.412</v>
      </c>
      <c r="O151" s="8" t="n">
        <v>46361</v>
      </c>
      <c r="P151" s="9" t="n">
        <f aca="true">TODAY()-J151</f>
        <v>4</v>
      </c>
      <c r="Q151" s="9" t="n">
        <f aca="true">O151-TODAY()</f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8" min="6" style="0" width="10"/>
    <col collapsed="false" customWidth="true" hidden="false" outlineLevel="0" max="10" min="9" style="0" width="15"/>
    <col collapsed="false" customWidth="true" hidden="false" outlineLevel="0" max="12" min="11" style="0" width="16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5" min="15" style="0" width="16"/>
    <col collapsed="false" customWidth="true" hidden="false" outlineLevel="0" max="16" min="16" style="0" width="12"/>
    <col collapsed="false" customWidth="true" hidden="false" outlineLevel="0" max="17" min="17" style="0" width="18"/>
  </cols>
  <sheetData>
    <row r="1" customFormat="false" ht="35.05" hidden="false" customHeight="false" outlineLevel="0" collapsed="false">
      <c r="A1" s="6" t="s">
        <v>81</v>
      </c>
      <c r="B1" s="6" t="s">
        <v>82</v>
      </c>
      <c r="C1" s="6" t="s">
        <v>83</v>
      </c>
      <c r="D1" s="6" t="s">
        <v>84</v>
      </c>
      <c r="E1" s="6" t="s">
        <v>1475</v>
      </c>
      <c r="F1" s="6" t="s">
        <v>1476</v>
      </c>
      <c r="G1" s="6" t="s">
        <v>1477</v>
      </c>
      <c r="H1" s="6" t="s">
        <v>1478</v>
      </c>
      <c r="I1" s="6" t="s">
        <v>1479</v>
      </c>
      <c r="J1" s="6" t="s">
        <v>1480</v>
      </c>
      <c r="K1" s="6" t="s">
        <v>1481</v>
      </c>
      <c r="L1" s="6" t="s">
        <v>1482</v>
      </c>
      <c r="M1" s="6" t="s">
        <v>1483</v>
      </c>
      <c r="N1" s="6" t="s">
        <v>1484</v>
      </c>
      <c r="O1" s="6" t="s">
        <v>1485</v>
      </c>
      <c r="P1" s="6" t="s">
        <v>1486</v>
      </c>
      <c r="Q1" s="6" t="s">
        <v>1487</v>
      </c>
    </row>
    <row r="2" customFormat="false" ht="15" hidden="false" customHeight="false" outlineLevel="0" collapsed="false">
      <c r="A2" s="7" t="s">
        <v>1328</v>
      </c>
      <c r="B2" s="7" t="s">
        <v>1329</v>
      </c>
      <c r="C2" s="7" t="s">
        <v>201</v>
      </c>
      <c r="D2" s="7" t="s">
        <v>115</v>
      </c>
      <c r="E2" s="7" t="n">
        <f aca="false">COUNTIF(Closed_Deals!$B$2:$B$761,A2)</f>
        <v>0</v>
      </c>
      <c r="F2" s="7" t="n">
        <f aca="false">COUNTIFS(Closed_Deals!$B$2:$B$761,A2,Closed_Deals!$N$2:$N$761,"Won")</f>
        <v>0</v>
      </c>
      <c r="G2" s="7" t="n">
        <f aca="false">E2-F2</f>
        <v>0</v>
      </c>
      <c r="H2" s="11" t="str">
        <f aca="false">IFERROR(F2/E2,"")</f>
        <v/>
      </c>
      <c r="I2" s="10" t="n">
        <f aca="false">SUMIFS(Closed_Deals!$M$2:$M$761,Closed_Deals!$B$2:$B$761,A2,Closed_Deals!$N$2:$N$761,"Won")</f>
        <v>0</v>
      </c>
      <c r="J2" s="10" t="str">
        <f aca="false">IFERROR(I2/F2,"")</f>
        <v/>
      </c>
      <c r="K2" s="8" t="str">
        <f aca="false">IF(F2=0,"",_xlfn.MINIFS(Closed_Deals!$R$2:$R$761,Closed_Deals!$B$2:$B$761,A2,Closed_Deals!$N$2:$N$761,"Won"))</f>
        <v/>
      </c>
      <c r="L2" s="8" t="str">
        <f aca="false">IF(F2=0,"",_xlfn.MAXIFS(Closed_Deals!$R$2:$R$761,Closed_Deals!$B$2:$B$761,A2,Closed_Deals!$N$2:$N$761,"Won"))</f>
        <v/>
      </c>
      <c r="M2" s="7" t="n">
        <f aca="false">COUNTIF(Open_Pipeline!$B$2:$B$151,A2)</f>
        <v>1</v>
      </c>
      <c r="N2" s="10" t="n">
        <f aca="false">SUMIF(Open_Pipeline!$B$2:$B$151,A2,Open_Pipeline!$M$2:$M$151)</f>
        <v>166090.92</v>
      </c>
      <c r="O2" s="7" t="str">
        <f aca="true">IF(F2=0,"",TODAY()-L2)</f>
        <v/>
      </c>
      <c r="P2" s="7" t="str">
        <f aca="false">IF(F2&gt;=2,"Yes","No")</f>
        <v>No</v>
      </c>
      <c r="Q2" s="7" t="str">
        <f aca="false">IF(F2=0,"No Won Business",IF(M2&gt;0,"Active - In Pipeline",IF(O2&lt;=365,"Active",IF(O2&lt;=545,"At Risk","Churned"))))</f>
        <v>No Won Business</v>
      </c>
    </row>
    <row r="3" customFormat="false" ht="15" hidden="false" customHeight="false" outlineLevel="0" collapsed="false">
      <c r="A3" s="7" t="s">
        <v>265</v>
      </c>
      <c r="B3" s="7" t="s">
        <v>266</v>
      </c>
      <c r="C3" s="7" t="s">
        <v>151</v>
      </c>
      <c r="D3" s="7" t="s">
        <v>115</v>
      </c>
      <c r="E3" s="7" t="n">
        <f aca="false">COUNTIF(Closed_Deals!$B$2:$B$761,A3)</f>
        <v>2</v>
      </c>
      <c r="F3" s="7" t="n">
        <f aca="false">COUNTIFS(Closed_Deals!$B$2:$B$761,A3,Closed_Deals!$N$2:$N$761,"Won")</f>
        <v>0</v>
      </c>
      <c r="G3" s="7" t="n">
        <f aca="false">E3-F3</f>
        <v>2</v>
      </c>
      <c r="H3" s="11" t="n">
        <f aca="false">IFERROR(F3/E3,"")</f>
        <v>0</v>
      </c>
      <c r="I3" s="10" t="n">
        <f aca="false">SUMIFS(Closed_Deals!$M$2:$M$761,Closed_Deals!$B$2:$B$761,A3,Closed_Deals!$N$2:$N$761,"Won")</f>
        <v>0</v>
      </c>
      <c r="J3" s="10" t="str">
        <f aca="false">IFERROR(I3/F3,"")</f>
        <v/>
      </c>
      <c r="K3" s="8" t="str">
        <f aca="false">IF(F3=0,"",_xlfn.MINIFS(Closed_Deals!$R$2:$R$761,Closed_Deals!$B$2:$B$761,A3,Closed_Deals!$N$2:$N$761,"Won"))</f>
        <v/>
      </c>
      <c r="L3" s="8" t="str">
        <f aca="false">IF(F3=0,"",_xlfn.MAXIFS(Closed_Deals!$R$2:$R$761,Closed_Deals!$B$2:$B$761,A3,Closed_Deals!$N$2:$N$761,"Won"))</f>
        <v/>
      </c>
      <c r="M3" s="7" t="n">
        <f aca="false">COUNTIF(Open_Pipeline!$B$2:$B$151,A3)</f>
        <v>0</v>
      </c>
      <c r="N3" s="10" t="n">
        <f aca="false">SUMIF(Open_Pipeline!$B$2:$B$151,A3,Open_Pipeline!$M$2:$M$151)</f>
        <v>0</v>
      </c>
      <c r="O3" s="7" t="str">
        <f aca="true">IF(F3=0,"",TODAY()-L3)</f>
        <v/>
      </c>
      <c r="P3" s="7" t="str">
        <f aca="false">IF(F3&gt;=2,"Yes","No")</f>
        <v>No</v>
      </c>
      <c r="Q3" s="7" t="str">
        <f aca="false">IF(F3=0,"No Won Business",IF(M3&gt;0,"Active - In Pipeline",IF(O3&lt;=365,"Active",IF(O3&lt;=545,"At Risk","Churned"))))</f>
        <v>No Won Business</v>
      </c>
    </row>
    <row r="4" customFormat="false" ht="15" hidden="false" customHeight="false" outlineLevel="0" collapsed="false">
      <c r="A4" s="7" t="s">
        <v>529</v>
      </c>
      <c r="B4" s="7" t="s">
        <v>530</v>
      </c>
      <c r="C4" s="7" t="s">
        <v>195</v>
      </c>
      <c r="D4" s="7" t="s">
        <v>115</v>
      </c>
      <c r="E4" s="7" t="n">
        <f aca="false">COUNTIF(Closed_Deals!$B$2:$B$761,A4)</f>
        <v>5</v>
      </c>
      <c r="F4" s="7" t="n">
        <f aca="false">COUNTIFS(Closed_Deals!$B$2:$B$761,A4,Closed_Deals!$N$2:$N$761,"Won")</f>
        <v>2</v>
      </c>
      <c r="G4" s="7" t="n">
        <f aca="false">E4-F4</f>
        <v>3</v>
      </c>
      <c r="H4" s="11" t="n">
        <f aca="false">IFERROR(F4/E4,"")</f>
        <v>0.4</v>
      </c>
      <c r="I4" s="10" t="n">
        <f aca="false">SUMIFS(Closed_Deals!$M$2:$M$761,Closed_Deals!$B$2:$B$761,A4,Closed_Deals!$N$2:$N$761,"Won")</f>
        <v>186176.95</v>
      </c>
      <c r="J4" s="10" t="n">
        <f aca="false">IFERROR(I4/F4,"")</f>
        <v>93088.475</v>
      </c>
      <c r="K4" s="8" t="n">
        <f aca="false">IF(F4=0,"",_xlfn.MINIFS(Closed_Deals!$R$2:$R$761,Closed_Deals!$B$2:$B$761,A4,Closed_Deals!$N$2:$N$761,"Won"))</f>
        <v>45943</v>
      </c>
      <c r="L4" s="8" t="n">
        <f aca="false">IF(F4=0,"",_xlfn.MAXIFS(Closed_Deals!$R$2:$R$761,Closed_Deals!$B$2:$B$761,A4,Closed_Deals!$N$2:$N$761,"Won"))</f>
        <v>46241</v>
      </c>
      <c r="M4" s="7" t="n">
        <f aca="false">COUNTIF(Open_Pipeline!$B$2:$B$151,A4)</f>
        <v>0</v>
      </c>
      <c r="N4" s="10" t="n">
        <f aca="false">SUMIF(Open_Pipeline!$B$2:$B$151,A4,Open_Pipeline!$M$2:$M$151)</f>
        <v>0</v>
      </c>
      <c r="O4" s="7" t="n">
        <f aca="true">IF(F4=0,"",TODAY()-L4)</f>
        <v>33</v>
      </c>
      <c r="P4" s="7" t="str">
        <f aca="false">IF(F4&gt;=2,"Yes","No")</f>
        <v>Yes</v>
      </c>
      <c r="Q4" s="7" t="str">
        <f aca="false">IF(F4=0,"No Won Business",IF(M4&gt;0,"Active - In Pipeline",IF(O4&lt;=365,"Active",IF(O4&lt;=545,"At Risk","Churned"))))</f>
        <v>Active</v>
      </c>
    </row>
    <row r="5" customFormat="false" ht="15" hidden="false" customHeight="false" outlineLevel="0" collapsed="false">
      <c r="A5" s="7" t="s">
        <v>1488</v>
      </c>
      <c r="B5" s="7" t="s">
        <v>1489</v>
      </c>
      <c r="C5" s="7" t="s">
        <v>135</v>
      </c>
      <c r="D5" s="7" t="s">
        <v>115</v>
      </c>
      <c r="E5" s="7" t="n">
        <f aca="false">COUNTIF(Closed_Deals!$B$2:$B$761,A5)</f>
        <v>0</v>
      </c>
      <c r="F5" s="7" t="n">
        <f aca="false">COUNTIFS(Closed_Deals!$B$2:$B$761,A5,Closed_Deals!$N$2:$N$761,"Won")</f>
        <v>0</v>
      </c>
      <c r="G5" s="7" t="n">
        <f aca="false">E5-F5</f>
        <v>0</v>
      </c>
      <c r="H5" s="11" t="str">
        <f aca="false">IFERROR(F5/E5,"")</f>
        <v/>
      </c>
      <c r="I5" s="10" t="n">
        <f aca="false">SUMIFS(Closed_Deals!$M$2:$M$761,Closed_Deals!$B$2:$B$761,A5,Closed_Deals!$N$2:$N$761,"Won")</f>
        <v>0</v>
      </c>
      <c r="J5" s="10" t="str">
        <f aca="false">IFERROR(I5/F5,"")</f>
        <v/>
      </c>
      <c r="K5" s="8" t="str">
        <f aca="false">IF(F5=0,"",_xlfn.MINIFS(Closed_Deals!$R$2:$R$761,Closed_Deals!$B$2:$B$761,A5,Closed_Deals!$N$2:$N$761,"Won"))</f>
        <v/>
      </c>
      <c r="L5" s="8" t="str">
        <f aca="false">IF(F5=0,"",_xlfn.MAXIFS(Closed_Deals!$R$2:$R$761,Closed_Deals!$B$2:$B$761,A5,Closed_Deals!$N$2:$N$761,"Won"))</f>
        <v/>
      </c>
      <c r="M5" s="7" t="n">
        <f aca="false">COUNTIF(Open_Pipeline!$B$2:$B$151,A5)</f>
        <v>0</v>
      </c>
      <c r="N5" s="10" t="n">
        <f aca="false">SUMIF(Open_Pipeline!$B$2:$B$151,A5,Open_Pipeline!$M$2:$M$151)</f>
        <v>0</v>
      </c>
      <c r="O5" s="7" t="str">
        <f aca="true">IF(F5=0,"",TODAY()-L5)</f>
        <v/>
      </c>
      <c r="P5" s="7" t="str">
        <f aca="false">IF(F5&gt;=2,"Yes","No")</f>
        <v>No</v>
      </c>
      <c r="Q5" s="7" t="str">
        <f aca="false">IF(F5=0,"No Won Business",IF(M5&gt;0,"Active - In Pipeline",IF(O5&lt;=365,"Active",IF(O5&lt;=545,"At Risk","Churned"))))</f>
        <v>No Won Business</v>
      </c>
    </row>
    <row r="6" customFormat="false" ht="15" hidden="false" customHeight="false" outlineLevel="0" collapsed="false">
      <c r="A6" s="7" t="s">
        <v>1490</v>
      </c>
      <c r="B6" s="7" t="s">
        <v>1491</v>
      </c>
      <c r="C6" s="7" t="s">
        <v>201</v>
      </c>
      <c r="D6" s="7" t="s">
        <v>105</v>
      </c>
      <c r="E6" s="7" t="n">
        <f aca="false">COUNTIF(Closed_Deals!$B$2:$B$761,A6)</f>
        <v>0</v>
      </c>
      <c r="F6" s="7" t="n">
        <f aca="false">COUNTIFS(Closed_Deals!$B$2:$B$761,A6,Closed_Deals!$N$2:$N$761,"Won")</f>
        <v>0</v>
      </c>
      <c r="G6" s="7" t="n">
        <f aca="false">E6-F6</f>
        <v>0</v>
      </c>
      <c r="H6" s="11" t="str">
        <f aca="false">IFERROR(F6/E6,"")</f>
        <v/>
      </c>
      <c r="I6" s="10" t="n">
        <f aca="false">SUMIFS(Closed_Deals!$M$2:$M$761,Closed_Deals!$B$2:$B$761,A6,Closed_Deals!$N$2:$N$761,"Won")</f>
        <v>0</v>
      </c>
      <c r="J6" s="10" t="str">
        <f aca="false">IFERROR(I6/F6,"")</f>
        <v/>
      </c>
      <c r="K6" s="8" t="str">
        <f aca="false">IF(F6=0,"",_xlfn.MINIFS(Closed_Deals!$R$2:$R$761,Closed_Deals!$B$2:$B$761,A6,Closed_Deals!$N$2:$N$761,"Won"))</f>
        <v/>
      </c>
      <c r="L6" s="8" t="str">
        <f aca="false">IF(F6=0,"",_xlfn.MAXIFS(Closed_Deals!$R$2:$R$761,Closed_Deals!$B$2:$B$761,A6,Closed_Deals!$N$2:$N$761,"Won"))</f>
        <v/>
      </c>
      <c r="M6" s="7" t="n">
        <f aca="false">COUNTIF(Open_Pipeline!$B$2:$B$151,A6)</f>
        <v>0</v>
      </c>
      <c r="N6" s="10" t="n">
        <f aca="false">SUMIF(Open_Pipeline!$B$2:$B$151,A6,Open_Pipeline!$M$2:$M$151)</f>
        <v>0</v>
      </c>
      <c r="O6" s="7" t="str">
        <f aca="true">IF(F6=0,"",TODAY()-L6)</f>
        <v/>
      </c>
      <c r="P6" s="7" t="str">
        <f aca="false">IF(F6&gt;=2,"Yes","No")</f>
        <v>No</v>
      </c>
      <c r="Q6" s="7" t="str">
        <f aca="false">IF(F6=0,"No Won Business",IF(M6&gt;0,"Active - In Pipeline",IF(O6&lt;=365,"Active",IF(O6&lt;=545,"At Risk","Churned"))))</f>
        <v>No Won Business</v>
      </c>
    </row>
    <row r="7" customFormat="false" ht="15" hidden="false" customHeight="false" outlineLevel="0" collapsed="false">
      <c r="A7" s="7" t="s">
        <v>595</v>
      </c>
      <c r="B7" s="7" t="s">
        <v>596</v>
      </c>
      <c r="C7" s="7" t="s">
        <v>135</v>
      </c>
      <c r="D7" s="7" t="s">
        <v>94</v>
      </c>
      <c r="E7" s="7" t="n">
        <f aca="false">COUNTIF(Closed_Deals!$B$2:$B$761,A7)</f>
        <v>3</v>
      </c>
      <c r="F7" s="7" t="n">
        <f aca="false">COUNTIFS(Closed_Deals!$B$2:$B$761,A7,Closed_Deals!$N$2:$N$761,"Won")</f>
        <v>0</v>
      </c>
      <c r="G7" s="7" t="n">
        <f aca="false">E7-F7</f>
        <v>3</v>
      </c>
      <c r="H7" s="11" t="n">
        <f aca="false">IFERROR(F7/E7,"")</f>
        <v>0</v>
      </c>
      <c r="I7" s="10" t="n">
        <f aca="false">SUMIFS(Closed_Deals!$M$2:$M$761,Closed_Deals!$B$2:$B$761,A7,Closed_Deals!$N$2:$N$761,"Won")</f>
        <v>0</v>
      </c>
      <c r="J7" s="10" t="str">
        <f aca="false">IFERROR(I7/F7,"")</f>
        <v/>
      </c>
      <c r="K7" s="8" t="str">
        <f aca="false">IF(F7=0,"",_xlfn.MINIFS(Closed_Deals!$R$2:$R$761,Closed_Deals!$B$2:$B$761,A7,Closed_Deals!$N$2:$N$761,"Won"))</f>
        <v/>
      </c>
      <c r="L7" s="8" t="str">
        <f aca="false">IF(F7=0,"",_xlfn.MAXIFS(Closed_Deals!$R$2:$R$761,Closed_Deals!$B$2:$B$761,A7,Closed_Deals!$N$2:$N$761,"Won"))</f>
        <v/>
      </c>
      <c r="M7" s="7" t="n">
        <f aca="false">COUNTIF(Open_Pipeline!$B$2:$B$151,A7)</f>
        <v>1</v>
      </c>
      <c r="N7" s="10" t="n">
        <f aca="false">SUMIF(Open_Pipeline!$B$2:$B$151,A7,Open_Pipeline!$M$2:$M$151)</f>
        <v>83111.47</v>
      </c>
      <c r="O7" s="7" t="str">
        <f aca="true">IF(F7=0,"",TODAY()-L7)</f>
        <v/>
      </c>
      <c r="P7" s="7" t="str">
        <f aca="false">IF(F7&gt;=2,"Yes","No")</f>
        <v>No</v>
      </c>
      <c r="Q7" s="7" t="str">
        <f aca="false">IF(F7=0,"No Won Business",IF(M7&gt;0,"Active - In Pipeline",IF(O7&lt;=365,"Active",IF(O7&lt;=545,"At Risk","Churned"))))</f>
        <v>No Won Business</v>
      </c>
    </row>
    <row r="8" customFormat="false" ht="15" hidden="false" customHeight="false" outlineLevel="0" collapsed="false">
      <c r="A8" s="7" t="s">
        <v>776</v>
      </c>
      <c r="B8" s="7" t="s">
        <v>777</v>
      </c>
      <c r="C8" s="7" t="s">
        <v>242</v>
      </c>
      <c r="D8" s="7" t="s">
        <v>94</v>
      </c>
      <c r="E8" s="7" t="n">
        <f aca="false">COUNTIF(Closed_Deals!$B$2:$B$761,A8)</f>
        <v>3</v>
      </c>
      <c r="F8" s="7" t="n">
        <f aca="false">COUNTIFS(Closed_Deals!$B$2:$B$761,A8,Closed_Deals!$N$2:$N$761,"Won")</f>
        <v>2</v>
      </c>
      <c r="G8" s="7" t="n">
        <f aca="false">E8-F8</f>
        <v>1</v>
      </c>
      <c r="H8" s="11" t="n">
        <f aca="false">IFERROR(F8/E8,"")</f>
        <v>0.666666666666667</v>
      </c>
      <c r="I8" s="10" t="n">
        <f aca="false">SUMIFS(Closed_Deals!$M$2:$M$761,Closed_Deals!$B$2:$B$761,A8,Closed_Deals!$N$2:$N$761,"Won")</f>
        <v>228422.28</v>
      </c>
      <c r="J8" s="10" t="n">
        <f aca="false">IFERROR(I8/F8,"")</f>
        <v>114211.14</v>
      </c>
      <c r="K8" s="8" t="n">
        <f aca="false">IF(F8=0,"",_xlfn.MINIFS(Closed_Deals!$R$2:$R$761,Closed_Deals!$B$2:$B$761,A8,Closed_Deals!$N$2:$N$761,"Won"))</f>
        <v>45958</v>
      </c>
      <c r="L8" s="8" t="n">
        <f aca="false">IF(F8=0,"",_xlfn.MAXIFS(Closed_Deals!$R$2:$R$761,Closed_Deals!$B$2:$B$761,A8,Closed_Deals!$N$2:$N$761,"Won"))</f>
        <v>46305</v>
      </c>
      <c r="M8" s="7" t="n">
        <f aca="false">COUNTIF(Open_Pipeline!$B$2:$B$151,A8)</f>
        <v>0</v>
      </c>
      <c r="N8" s="10" t="n">
        <f aca="false">SUMIF(Open_Pipeline!$B$2:$B$151,A8,Open_Pipeline!$M$2:$M$151)</f>
        <v>0</v>
      </c>
      <c r="O8" s="7" t="n">
        <f aca="true">IF(F8=0,"",TODAY()-L8)</f>
        <v>-31</v>
      </c>
      <c r="P8" s="7" t="str">
        <f aca="false">IF(F8&gt;=2,"Yes","No")</f>
        <v>Yes</v>
      </c>
      <c r="Q8" s="7" t="str">
        <f aca="false">IF(F8=0,"No Won Business",IF(M8&gt;0,"Active - In Pipeline",IF(O8&lt;=365,"Active",IF(O8&lt;=545,"At Risk","Churned"))))</f>
        <v>Active</v>
      </c>
    </row>
    <row r="9" customFormat="false" ht="15" hidden="false" customHeight="false" outlineLevel="0" collapsed="false">
      <c r="A9" s="7" t="s">
        <v>1492</v>
      </c>
      <c r="B9" s="7" t="s">
        <v>1493</v>
      </c>
      <c r="C9" s="7" t="s">
        <v>195</v>
      </c>
      <c r="D9" s="7" t="s">
        <v>105</v>
      </c>
      <c r="E9" s="7" t="n">
        <f aca="false">COUNTIF(Closed_Deals!$B$2:$B$761,A9)</f>
        <v>0</v>
      </c>
      <c r="F9" s="7" t="n">
        <f aca="false">COUNTIFS(Closed_Deals!$B$2:$B$761,A9,Closed_Deals!$N$2:$N$761,"Won")</f>
        <v>0</v>
      </c>
      <c r="G9" s="7" t="n">
        <f aca="false">E9-F9</f>
        <v>0</v>
      </c>
      <c r="H9" s="11" t="str">
        <f aca="false">IFERROR(F9/E9,"")</f>
        <v/>
      </c>
      <c r="I9" s="10" t="n">
        <f aca="false">SUMIFS(Closed_Deals!$M$2:$M$761,Closed_Deals!$B$2:$B$761,A9,Closed_Deals!$N$2:$N$761,"Won")</f>
        <v>0</v>
      </c>
      <c r="J9" s="10" t="str">
        <f aca="false">IFERROR(I9/F9,"")</f>
        <v/>
      </c>
      <c r="K9" s="8" t="str">
        <f aca="false">IF(F9=0,"",_xlfn.MINIFS(Closed_Deals!$R$2:$R$761,Closed_Deals!$B$2:$B$761,A9,Closed_Deals!$N$2:$N$761,"Won"))</f>
        <v/>
      </c>
      <c r="L9" s="8" t="str">
        <f aca="false">IF(F9=0,"",_xlfn.MAXIFS(Closed_Deals!$R$2:$R$761,Closed_Deals!$B$2:$B$761,A9,Closed_Deals!$N$2:$N$761,"Won"))</f>
        <v/>
      </c>
      <c r="M9" s="7" t="n">
        <f aca="false">COUNTIF(Open_Pipeline!$B$2:$B$151,A9)</f>
        <v>0</v>
      </c>
      <c r="N9" s="10" t="n">
        <f aca="false">SUMIF(Open_Pipeline!$B$2:$B$151,A9,Open_Pipeline!$M$2:$M$151)</f>
        <v>0</v>
      </c>
      <c r="O9" s="7" t="str">
        <f aca="true">IF(F9=0,"",TODAY()-L9)</f>
        <v/>
      </c>
      <c r="P9" s="7" t="str">
        <f aca="false">IF(F9&gt;=2,"Yes","No")</f>
        <v>No</v>
      </c>
      <c r="Q9" s="7" t="str">
        <f aca="false">IF(F9=0,"No Won Business",IF(M9&gt;0,"Active - In Pipeline",IF(O9&lt;=365,"Active",IF(O9&lt;=545,"At Risk","Churned"))))</f>
        <v>No Won Business</v>
      </c>
    </row>
    <row r="10" customFormat="false" ht="15" hidden="false" customHeight="false" outlineLevel="0" collapsed="false">
      <c r="A10" s="7" t="s">
        <v>375</v>
      </c>
      <c r="B10" s="7" t="s">
        <v>376</v>
      </c>
      <c r="C10" s="7" t="s">
        <v>201</v>
      </c>
      <c r="D10" s="7" t="s">
        <v>115</v>
      </c>
      <c r="E10" s="7" t="n">
        <f aca="false">COUNTIF(Closed_Deals!$B$2:$B$761,A10)</f>
        <v>4</v>
      </c>
      <c r="F10" s="7" t="n">
        <f aca="false">COUNTIFS(Closed_Deals!$B$2:$B$761,A10,Closed_Deals!$N$2:$N$761,"Won")</f>
        <v>1</v>
      </c>
      <c r="G10" s="7" t="n">
        <f aca="false">E10-F10</f>
        <v>3</v>
      </c>
      <c r="H10" s="11" t="n">
        <f aca="false">IFERROR(F10/E10,"")</f>
        <v>0.25</v>
      </c>
      <c r="I10" s="10" t="n">
        <f aca="false">SUMIFS(Closed_Deals!$M$2:$M$761,Closed_Deals!$B$2:$B$761,A10,Closed_Deals!$N$2:$N$761,"Won")</f>
        <v>190533.37</v>
      </c>
      <c r="J10" s="10" t="n">
        <f aca="false">IFERROR(I10/F10,"")</f>
        <v>190533.37</v>
      </c>
      <c r="K10" s="8" t="n">
        <f aca="false">IF(F10=0,"",_xlfn.MINIFS(Closed_Deals!$R$2:$R$761,Closed_Deals!$B$2:$B$761,A10,Closed_Deals!$N$2:$N$761,"Won"))</f>
        <v>45764</v>
      </c>
      <c r="L10" s="8" t="n">
        <f aca="false">IF(F10=0,"",_xlfn.MAXIFS(Closed_Deals!$R$2:$R$761,Closed_Deals!$B$2:$B$761,A10,Closed_Deals!$N$2:$N$761,"Won"))</f>
        <v>45764</v>
      </c>
      <c r="M10" s="7" t="n">
        <f aca="false">COUNTIF(Open_Pipeline!$B$2:$B$151,A10)</f>
        <v>1</v>
      </c>
      <c r="N10" s="10" t="n">
        <f aca="false">SUMIF(Open_Pipeline!$B$2:$B$151,A10,Open_Pipeline!$M$2:$M$151)</f>
        <v>134914.55</v>
      </c>
      <c r="O10" s="7" t="n">
        <f aca="true">IF(F10=0,"",TODAY()-L10)</f>
        <v>510</v>
      </c>
      <c r="P10" s="7" t="str">
        <f aca="false">IF(F10&gt;=2,"Yes","No")</f>
        <v>No</v>
      </c>
      <c r="Q10" s="7" t="str">
        <f aca="false">IF(F10=0,"No Won Business",IF(M10&gt;0,"Active - In Pipeline",IF(O10&lt;=365,"Active",IF(O10&lt;=545,"At Risk","Churned"))))</f>
        <v>Active - In Pipeline</v>
      </c>
    </row>
    <row r="11" customFormat="false" ht="15" hidden="false" customHeight="false" outlineLevel="0" collapsed="false">
      <c r="A11" s="7" t="s">
        <v>717</v>
      </c>
      <c r="B11" s="7" t="s">
        <v>718</v>
      </c>
      <c r="C11" s="7" t="s">
        <v>114</v>
      </c>
      <c r="D11" s="7" t="s">
        <v>162</v>
      </c>
      <c r="E11" s="7" t="n">
        <f aca="false">COUNTIF(Closed_Deals!$B$2:$B$761,A11)</f>
        <v>6</v>
      </c>
      <c r="F11" s="7" t="n">
        <f aca="false">COUNTIFS(Closed_Deals!$B$2:$B$761,A11,Closed_Deals!$N$2:$N$761,"Won")</f>
        <v>3</v>
      </c>
      <c r="G11" s="7" t="n">
        <f aca="false">E11-F11</f>
        <v>3</v>
      </c>
      <c r="H11" s="11" t="n">
        <f aca="false">IFERROR(F11/E11,"")</f>
        <v>0.5</v>
      </c>
      <c r="I11" s="10" t="n">
        <f aca="false">SUMIFS(Closed_Deals!$M$2:$M$761,Closed_Deals!$B$2:$B$761,A11,Closed_Deals!$N$2:$N$761,"Won")</f>
        <v>243602.8</v>
      </c>
      <c r="J11" s="10" t="n">
        <f aca="false">IFERROR(I11/F11,"")</f>
        <v>81200.9333333333</v>
      </c>
      <c r="K11" s="8" t="n">
        <f aca="false">IF(F11=0,"",_xlfn.MINIFS(Closed_Deals!$R$2:$R$761,Closed_Deals!$B$2:$B$761,A11,Closed_Deals!$N$2:$N$761,"Won"))</f>
        <v>45870</v>
      </c>
      <c r="L11" s="8" t="n">
        <f aca="false">IF(F11=0,"",_xlfn.MAXIFS(Closed_Deals!$R$2:$R$761,Closed_Deals!$B$2:$B$761,A11,Closed_Deals!$N$2:$N$761,"Won"))</f>
        <v>46033</v>
      </c>
      <c r="M11" s="7" t="n">
        <f aca="false">COUNTIF(Open_Pipeline!$B$2:$B$151,A11)</f>
        <v>0</v>
      </c>
      <c r="N11" s="10" t="n">
        <f aca="false">SUMIF(Open_Pipeline!$B$2:$B$151,A11,Open_Pipeline!$M$2:$M$151)</f>
        <v>0</v>
      </c>
      <c r="O11" s="7" t="n">
        <f aca="true">IF(F11=0,"",TODAY()-L11)</f>
        <v>241</v>
      </c>
      <c r="P11" s="7" t="str">
        <f aca="false">IF(F11&gt;=2,"Yes","No")</f>
        <v>Yes</v>
      </c>
      <c r="Q11" s="7" t="str">
        <f aca="false">IF(F11=0,"No Won Business",IF(M11&gt;0,"Active - In Pipeline",IF(O11&lt;=365,"Active",IF(O11&lt;=545,"At Risk","Churned"))))</f>
        <v>Active</v>
      </c>
    </row>
    <row r="12" customFormat="false" ht="15" hidden="false" customHeight="false" outlineLevel="0" collapsed="false">
      <c r="A12" s="7" t="s">
        <v>1494</v>
      </c>
      <c r="B12" s="7" t="s">
        <v>1495</v>
      </c>
      <c r="C12" s="7" t="s">
        <v>135</v>
      </c>
      <c r="D12" s="7" t="s">
        <v>115</v>
      </c>
      <c r="E12" s="7" t="n">
        <f aca="false">COUNTIF(Closed_Deals!$B$2:$B$761,A12)</f>
        <v>0</v>
      </c>
      <c r="F12" s="7" t="n">
        <f aca="false">COUNTIFS(Closed_Deals!$B$2:$B$761,A12,Closed_Deals!$N$2:$N$761,"Won")</f>
        <v>0</v>
      </c>
      <c r="G12" s="7" t="n">
        <f aca="false">E12-F12</f>
        <v>0</v>
      </c>
      <c r="H12" s="11" t="str">
        <f aca="false">IFERROR(F12/E12,"")</f>
        <v/>
      </c>
      <c r="I12" s="10" t="n">
        <f aca="false">SUMIFS(Closed_Deals!$M$2:$M$761,Closed_Deals!$B$2:$B$761,A12,Closed_Deals!$N$2:$N$761,"Won")</f>
        <v>0</v>
      </c>
      <c r="J12" s="10" t="str">
        <f aca="false">IFERROR(I12/F12,"")</f>
        <v/>
      </c>
      <c r="K12" s="8" t="str">
        <f aca="false">IF(F12=0,"",_xlfn.MINIFS(Closed_Deals!$R$2:$R$761,Closed_Deals!$B$2:$B$761,A12,Closed_Deals!$N$2:$N$761,"Won"))</f>
        <v/>
      </c>
      <c r="L12" s="8" t="str">
        <f aca="false">IF(F12=0,"",_xlfn.MAXIFS(Closed_Deals!$R$2:$R$761,Closed_Deals!$B$2:$B$761,A12,Closed_Deals!$N$2:$N$761,"Won"))</f>
        <v/>
      </c>
      <c r="M12" s="7" t="n">
        <f aca="false">COUNTIF(Open_Pipeline!$B$2:$B$151,A12)</f>
        <v>0</v>
      </c>
      <c r="N12" s="10" t="n">
        <f aca="false">SUMIF(Open_Pipeline!$B$2:$B$151,A12,Open_Pipeline!$M$2:$M$151)</f>
        <v>0</v>
      </c>
      <c r="O12" s="7" t="str">
        <f aca="true">IF(F12=0,"",TODAY()-L12)</f>
        <v/>
      </c>
      <c r="P12" s="7" t="str">
        <f aca="false">IF(F12&gt;=2,"Yes","No")</f>
        <v>No</v>
      </c>
      <c r="Q12" s="7" t="str">
        <f aca="false">IF(F12=0,"No Won Business",IF(M12&gt;0,"Active - In Pipeline",IF(O12&lt;=365,"Active",IF(O12&lt;=545,"At Risk","Churned"))))</f>
        <v>No Won Business</v>
      </c>
    </row>
    <row r="13" customFormat="false" ht="15" hidden="false" customHeight="false" outlineLevel="0" collapsed="false">
      <c r="A13" s="7" t="s">
        <v>674</v>
      </c>
      <c r="B13" s="7" t="s">
        <v>675</v>
      </c>
      <c r="C13" s="7" t="s">
        <v>151</v>
      </c>
      <c r="D13" s="7" t="s">
        <v>105</v>
      </c>
      <c r="E13" s="7" t="n">
        <f aca="false">COUNTIF(Closed_Deals!$B$2:$B$761,A13)</f>
        <v>5</v>
      </c>
      <c r="F13" s="7" t="n">
        <f aca="false">COUNTIFS(Closed_Deals!$B$2:$B$761,A13,Closed_Deals!$N$2:$N$761,"Won")</f>
        <v>3</v>
      </c>
      <c r="G13" s="7" t="n">
        <f aca="false">E13-F13</f>
        <v>2</v>
      </c>
      <c r="H13" s="11" t="n">
        <f aca="false">IFERROR(F13/E13,"")</f>
        <v>0.6</v>
      </c>
      <c r="I13" s="10" t="n">
        <f aca="false">SUMIFS(Closed_Deals!$M$2:$M$761,Closed_Deals!$B$2:$B$761,A13,Closed_Deals!$N$2:$N$761,"Won")</f>
        <v>231140.61</v>
      </c>
      <c r="J13" s="10" t="n">
        <f aca="false">IFERROR(I13/F13,"")</f>
        <v>77046.87</v>
      </c>
      <c r="K13" s="8" t="n">
        <f aca="false">IF(F13=0,"",_xlfn.MINIFS(Closed_Deals!$R$2:$R$761,Closed_Deals!$B$2:$B$761,A13,Closed_Deals!$N$2:$N$761,"Won"))</f>
        <v>45877</v>
      </c>
      <c r="L13" s="8" t="n">
        <f aca="false">IF(F13=0,"",_xlfn.MAXIFS(Closed_Deals!$R$2:$R$761,Closed_Deals!$B$2:$B$761,A13,Closed_Deals!$N$2:$N$761,"Won"))</f>
        <v>46060</v>
      </c>
      <c r="M13" s="7" t="n">
        <f aca="false">COUNTIF(Open_Pipeline!$B$2:$B$151,A13)</f>
        <v>2</v>
      </c>
      <c r="N13" s="10" t="n">
        <f aca="false">SUMIF(Open_Pipeline!$B$2:$B$151,A13,Open_Pipeline!$M$2:$M$151)</f>
        <v>318732.42</v>
      </c>
      <c r="O13" s="7" t="n">
        <f aca="true">IF(F13=0,"",TODAY()-L13)</f>
        <v>214</v>
      </c>
      <c r="P13" s="7" t="str">
        <f aca="false">IF(F13&gt;=2,"Yes","No")</f>
        <v>Yes</v>
      </c>
      <c r="Q13" s="7" t="str">
        <f aca="false">IF(F13=0,"No Won Business",IF(M13&gt;0,"Active - In Pipeline",IF(O13&lt;=365,"Active",IF(O13&lt;=545,"At Risk","Churned"))))</f>
        <v>Active - In Pipeline</v>
      </c>
    </row>
    <row r="14" customFormat="false" ht="15" hidden="false" customHeight="false" outlineLevel="0" collapsed="false">
      <c r="A14" s="7" t="s">
        <v>1496</v>
      </c>
      <c r="B14" s="7" t="s">
        <v>1497</v>
      </c>
      <c r="C14" s="7" t="s">
        <v>195</v>
      </c>
      <c r="D14" s="7" t="s">
        <v>105</v>
      </c>
      <c r="E14" s="7" t="n">
        <f aca="false">COUNTIF(Closed_Deals!$B$2:$B$761,A14)</f>
        <v>0</v>
      </c>
      <c r="F14" s="7" t="n">
        <f aca="false">COUNTIFS(Closed_Deals!$B$2:$B$761,A14,Closed_Deals!$N$2:$N$761,"Won")</f>
        <v>0</v>
      </c>
      <c r="G14" s="7" t="n">
        <f aca="false">E14-F14</f>
        <v>0</v>
      </c>
      <c r="H14" s="11" t="str">
        <f aca="false">IFERROR(F14/E14,"")</f>
        <v/>
      </c>
      <c r="I14" s="10" t="n">
        <f aca="false">SUMIFS(Closed_Deals!$M$2:$M$761,Closed_Deals!$B$2:$B$761,A14,Closed_Deals!$N$2:$N$761,"Won")</f>
        <v>0</v>
      </c>
      <c r="J14" s="10" t="str">
        <f aca="false">IFERROR(I14/F14,"")</f>
        <v/>
      </c>
      <c r="K14" s="8" t="str">
        <f aca="false">IF(F14=0,"",_xlfn.MINIFS(Closed_Deals!$R$2:$R$761,Closed_Deals!$B$2:$B$761,A14,Closed_Deals!$N$2:$N$761,"Won"))</f>
        <v/>
      </c>
      <c r="L14" s="8" t="str">
        <f aca="false">IF(F14=0,"",_xlfn.MAXIFS(Closed_Deals!$R$2:$R$761,Closed_Deals!$B$2:$B$761,A14,Closed_Deals!$N$2:$N$761,"Won"))</f>
        <v/>
      </c>
      <c r="M14" s="7" t="n">
        <f aca="false">COUNTIF(Open_Pipeline!$B$2:$B$151,A14)</f>
        <v>0</v>
      </c>
      <c r="N14" s="10" t="n">
        <f aca="false">SUMIF(Open_Pipeline!$B$2:$B$151,A14,Open_Pipeline!$M$2:$M$151)</f>
        <v>0</v>
      </c>
      <c r="O14" s="7" t="str">
        <f aca="true">IF(F14=0,"",TODAY()-L14)</f>
        <v/>
      </c>
      <c r="P14" s="7" t="str">
        <f aca="false">IF(F14&gt;=2,"Yes","No")</f>
        <v>No</v>
      </c>
      <c r="Q14" s="7" t="str">
        <f aca="false">IF(F14=0,"No Won Business",IF(M14&gt;0,"Active - In Pipeline",IF(O14&lt;=365,"Active",IF(O14&lt;=545,"At Risk","Churned"))))</f>
        <v>No Won Business</v>
      </c>
    </row>
    <row r="15" customFormat="false" ht="15" hidden="false" customHeight="false" outlineLevel="0" collapsed="false">
      <c r="A15" s="7" t="s">
        <v>1289</v>
      </c>
      <c r="B15" s="7" t="s">
        <v>1290</v>
      </c>
      <c r="C15" s="7" t="s">
        <v>151</v>
      </c>
      <c r="D15" s="7" t="s">
        <v>115</v>
      </c>
      <c r="E15" s="7" t="n">
        <f aca="false">COUNTIF(Closed_Deals!$B$2:$B$761,A15)</f>
        <v>1</v>
      </c>
      <c r="F15" s="7" t="n">
        <f aca="false">COUNTIFS(Closed_Deals!$B$2:$B$761,A15,Closed_Deals!$N$2:$N$761,"Won")</f>
        <v>0</v>
      </c>
      <c r="G15" s="7" t="n">
        <f aca="false">E15-F15</f>
        <v>1</v>
      </c>
      <c r="H15" s="11" t="n">
        <f aca="false">IFERROR(F15/E15,"")</f>
        <v>0</v>
      </c>
      <c r="I15" s="10" t="n">
        <f aca="false">SUMIFS(Closed_Deals!$M$2:$M$761,Closed_Deals!$B$2:$B$761,A15,Closed_Deals!$N$2:$N$761,"Won")</f>
        <v>0</v>
      </c>
      <c r="J15" s="10" t="str">
        <f aca="false">IFERROR(I15/F15,"")</f>
        <v/>
      </c>
      <c r="K15" s="8" t="str">
        <f aca="false">IF(F15=0,"",_xlfn.MINIFS(Closed_Deals!$R$2:$R$761,Closed_Deals!$B$2:$B$761,A15,Closed_Deals!$N$2:$N$761,"Won"))</f>
        <v/>
      </c>
      <c r="L15" s="8" t="str">
        <f aca="false">IF(F15=0,"",_xlfn.MAXIFS(Closed_Deals!$R$2:$R$761,Closed_Deals!$B$2:$B$761,A15,Closed_Deals!$N$2:$N$761,"Won"))</f>
        <v/>
      </c>
      <c r="M15" s="7" t="n">
        <f aca="false">COUNTIF(Open_Pipeline!$B$2:$B$151,A15)</f>
        <v>0</v>
      </c>
      <c r="N15" s="10" t="n">
        <f aca="false">SUMIF(Open_Pipeline!$B$2:$B$151,A15,Open_Pipeline!$M$2:$M$151)</f>
        <v>0</v>
      </c>
      <c r="O15" s="7" t="str">
        <f aca="true">IF(F15=0,"",TODAY()-L15)</f>
        <v/>
      </c>
      <c r="P15" s="7" t="str">
        <f aca="false">IF(F15&gt;=2,"Yes","No")</f>
        <v>No</v>
      </c>
      <c r="Q15" s="7" t="str">
        <f aca="false">IF(F15=0,"No Won Business",IF(M15&gt;0,"Active - In Pipeline",IF(O15&lt;=365,"Active",IF(O15&lt;=545,"At Risk","Churned"))))</f>
        <v>No Won Business</v>
      </c>
    </row>
    <row r="16" customFormat="false" ht="15" hidden="false" customHeight="false" outlineLevel="0" collapsed="false">
      <c r="A16" s="7" t="s">
        <v>919</v>
      </c>
      <c r="B16" s="7" t="s">
        <v>920</v>
      </c>
      <c r="C16" s="7" t="s">
        <v>114</v>
      </c>
      <c r="D16" s="7" t="s">
        <v>94</v>
      </c>
      <c r="E16" s="7" t="n">
        <f aca="false">COUNTIF(Closed_Deals!$B$2:$B$761,A16)</f>
        <v>4</v>
      </c>
      <c r="F16" s="7" t="n">
        <f aca="false">COUNTIFS(Closed_Deals!$B$2:$B$761,A16,Closed_Deals!$N$2:$N$761,"Won")</f>
        <v>1</v>
      </c>
      <c r="G16" s="7" t="n">
        <f aca="false">E16-F16</f>
        <v>3</v>
      </c>
      <c r="H16" s="11" t="n">
        <f aca="false">IFERROR(F16/E16,"")</f>
        <v>0.25</v>
      </c>
      <c r="I16" s="10" t="n">
        <f aca="false">SUMIFS(Closed_Deals!$M$2:$M$761,Closed_Deals!$B$2:$B$761,A16,Closed_Deals!$N$2:$N$761,"Won")</f>
        <v>84710.09</v>
      </c>
      <c r="J16" s="10" t="n">
        <f aca="false">IFERROR(I16/F16,"")</f>
        <v>84710.09</v>
      </c>
      <c r="K16" s="8" t="n">
        <f aca="false">IF(F16=0,"",_xlfn.MINIFS(Closed_Deals!$R$2:$R$761,Closed_Deals!$B$2:$B$761,A16,Closed_Deals!$N$2:$N$761,"Won"))</f>
        <v>46082</v>
      </c>
      <c r="L16" s="8" t="n">
        <f aca="false">IF(F16=0,"",_xlfn.MAXIFS(Closed_Deals!$R$2:$R$761,Closed_Deals!$B$2:$B$761,A16,Closed_Deals!$N$2:$N$761,"Won"))</f>
        <v>46082</v>
      </c>
      <c r="M16" s="7" t="n">
        <f aca="false">COUNTIF(Open_Pipeline!$B$2:$B$151,A16)</f>
        <v>1</v>
      </c>
      <c r="N16" s="10" t="n">
        <f aca="false">SUMIF(Open_Pipeline!$B$2:$B$151,A16,Open_Pipeline!$M$2:$M$151)</f>
        <v>154513.65</v>
      </c>
      <c r="O16" s="7" t="n">
        <f aca="true">IF(F16=0,"",TODAY()-L16)</f>
        <v>192</v>
      </c>
      <c r="P16" s="7" t="str">
        <f aca="false">IF(F16&gt;=2,"Yes","No")</f>
        <v>No</v>
      </c>
      <c r="Q16" s="7" t="str">
        <f aca="false">IF(F16=0,"No Won Business",IF(M16&gt;0,"Active - In Pipeline",IF(O16&lt;=365,"Active",IF(O16&lt;=545,"At Risk","Churned"))))</f>
        <v>Active - In Pipeline</v>
      </c>
    </row>
    <row r="17" customFormat="false" ht="15" hidden="false" customHeight="false" outlineLevel="0" collapsed="false">
      <c r="A17" s="7" t="s">
        <v>174</v>
      </c>
      <c r="B17" s="7" t="s">
        <v>175</v>
      </c>
      <c r="C17" s="7" t="s">
        <v>104</v>
      </c>
      <c r="D17" s="7" t="s">
        <v>94</v>
      </c>
      <c r="E17" s="7" t="n">
        <f aca="false">COUNTIF(Closed_Deals!$B$2:$B$761,A17)</f>
        <v>1</v>
      </c>
      <c r="F17" s="7" t="n">
        <f aca="false">COUNTIFS(Closed_Deals!$B$2:$B$761,A17,Closed_Deals!$N$2:$N$761,"Won")</f>
        <v>0</v>
      </c>
      <c r="G17" s="7" t="n">
        <f aca="false">E17-F17</f>
        <v>1</v>
      </c>
      <c r="H17" s="11" t="n">
        <f aca="false">IFERROR(F17/E17,"")</f>
        <v>0</v>
      </c>
      <c r="I17" s="10" t="n">
        <f aca="false">SUMIFS(Closed_Deals!$M$2:$M$761,Closed_Deals!$B$2:$B$761,A17,Closed_Deals!$N$2:$N$761,"Won")</f>
        <v>0</v>
      </c>
      <c r="J17" s="10" t="str">
        <f aca="false">IFERROR(I17/F17,"")</f>
        <v/>
      </c>
      <c r="K17" s="8" t="str">
        <f aca="false">IF(F17=0,"",_xlfn.MINIFS(Closed_Deals!$R$2:$R$761,Closed_Deals!$B$2:$B$761,A17,Closed_Deals!$N$2:$N$761,"Won"))</f>
        <v/>
      </c>
      <c r="L17" s="8" t="str">
        <f aca="false">IF(F17=0,"",_xlfn.MAXIFS(Closed_Deals!$R$2:$R$761,Closed_Deals!$B$2:$B$761,A17,Closed_Deals!$N$2:$N$761,"Won"))</f>
        <v/>
      </c>
      <c r="M17" s="7" t="n">
        <f aca="false">COUNTIF(Open_Pipeline!$B$2:$B$151,A17)</f>
        <v>0</v>
      </c>
      <c r="N17" s="10" t="n">
        <f aca="false">SUMIF(Open_Pipeline!$B$2:$B$151,A17,Open_Pipeline!$M$2:$M$151)</f>
        <v>0</v>
      </c>
      <c r="O17" s="7" t="str">
        <f aca="true">IF(F17=0,"",TODAY()-L17)</f>
        <v/>
      </c>
      <c r="P17" s="7" t="str">
        <f aca="false">IF(F17&gt;=2,"Yes","No")</f>
        <v>No</v>
      </c>
      <c r="Q17" s="7" t="str">
        <f aca="false">IF(F17=0,"No Won Business",IF(M17&gt;0,"Active - In Pipeline",IF(O17&lt;=365,"Active",IF(O17&lt;=545,"At Risk","Churned"))))</f>
        <v>No Won Business</v>
      </c>
    </row>
    <row r="18" customFormat="false" ht="15" hidden="false" customHeight="false" outlineLevel="0" collapsed="false">
      <c r="A18" s="7" t="s">
        <v>603</v>
      </c>
      <c r="B18" s="7" t="s">
        <v>604</v>
      </c>
      <c r="C18" s="7" t="s">
        <v>195</v>
      </c>
      <c r="D18" s="7" t="s">
        <v>105</v>
      </c>
      <c r="E18" s="7" t="n">
        <f aca="false">COUNTIF(Closed_Deals!$B$2:$B$761,A18)</f>
        <v>6</v>
      </c>
      <c r="F18" s="7" t="n">
        <f aca="false">COUNTIFS(Closed_Deals!$B$2:$B$761,A18,Closed_Deals!$N$2:$N$761,"Won")</f>
        <v>3</v>
      </c>
      <c r="G18" s="7" t="n">
        <f aca="false">E18-F18</f>
        <v>3</v>
      </c>
      <c r="H18" s="11" t="n">
        <f aca="false">IFERROR(F18/E18,"")</f>
        <v>0.5</v>
      </c>
      <c r="I18" s="10" t="n">
        <f aca="false">SUMIFS(Closed_Deals!$M$2:$M$761,Closed_Deals!$B$2:$B$761,A18,Closed_Deals!$N$2:$N$761,"Won")</f>
        <v>386433.06</v>
      </c>
      <c r="J18" s="10" t="n">
        <f aca="false">IFERROR(I18/F18,"")</f>
        <v>128811.02</v>
      </c>
      <c r="K18" s="8" t="n">
        <f aca="false">IF(F18=0,"",_xlfn.MINIFS(Closed_Deals!$R$2:$R$761,Closed_Deals!$B$2:$B$761,A18,Closed_Deals!$N$2:$N$761,"Won"))</f>
        <v>45739</v>
      </c>
      <c r="L18" s="8" t="n">
        <f aca="false">IF(F18=0,"",_xlfn.MAXIFS(Closed_Deals!$R$2:$R$761,Closed_Deals!$B$2:$B$761,A18,Closed_Deals!$N$2:$N$761,"Won"))</f>
        <v>46068</v>
      </c>
      <c r="M18" s="7" t="n">
        <f aca="false">COUNTIF(Open_Pipeline!$B$2:$B$151,A18)</f>
        <v>2</v>
      </c>
      <c r="N18" s="10" t="n">
        <f aca="false">SUMIF(Open_Pipeline!$B$2:$B$151,A18,Open_Pipeline!$M$2:$M$151)</f>
        <v>84909.37</v>
      </c>
      <c r="O18" s="7" t="n">
        <f aca="true">IF(F18=0,"",TODAY()-L18)</f>
        <v>206</v>
      </c>
      <c r="P18" s="7" t="str">
        <f aca="false">IF(F18&gt;=2,"Yes","No")</f>
        <v>Yes</v>
      </c>
      <c r="Q18" s="7" t="str">
        <f aca="false">IF(F18=0,"No Won Business",IF(M18&gt;0,"Active - In Pipeline",IF(O18&lt;=365,"Active",IF(O18&lt;=545,"At Risk","Churned"))))</f>
        <v>Active - In Pipeline</v>
      </c>
    </row>
    <row r="19" customFormat="false" ht="15" hidden="false" customHeight="false" outlineLevel="0" collapsed="false">
      <c r="A19" s="7" t="s">
        <v>616</v>
      </c>
      <c r="B19" s="7" t="s">
        <v>617</v>
      </c>
      <c r="C19" s="7" t="s">
        <v>201</v>
      </c>
      <c r="D19" s="7" t="s">
        <v>105</v>
      </c>
      <c r="E19" s="7" t="n">
        <f aca="false">COUNTIF(Closed_Deals!$B$2:$B$761,A19)</f>
        <v>4</v>
      </c>
      <c r="F19" s="7" t="n">
        <f aca="false">COUNTIFS(Closed_Deals!$B$2:$B$761,A19,Closed_Deals!$N$2:$N$761,"Won")</f>
        <v>3</v>
      </c>
      <c r="G19" s="7" t="n">
        <f aca="false">E19-F19</f>
        <v>1</v>
      </c>
      <c r="H19" s="11" t="n">
        <f aca="false">IFERROR(F19/E19,"")</f>
        <v>0.75</v>
      </c>
      <c r="I19" s="10" t="n">
        <f aca="false">SUMIFS(Closed_Deals!$M$2:$M$761,Closed_Deals!$B$2:$B$761,A19,Closed_Deals!$N$2:$N$761,"Won")</f>
        <v>217652.7</v>
      </c>
      <c r="J19" s="10" t="n">
        <f aca="false">IFERROR(I19/F19,"")</f>
        <v>72550.9</v>
      </c>
      <c r="K19" s="8" t="n">
        <f aca="false">IF(F19=0,"",_xlfn.MINIFS(Closed_Deals!$R$2:$R$761,Closed_Deals!$B$2:$B$761,A19,Closed_Deals!$N$2:$N$761,"Won"))</f>
        <v>45825</v>
      </c>
      <c r="L19" s="8" t="n">
        <f aca="false">IF(F19=0,"",_xlfn.MAXIFS(Closed_Deals!$R$2:$R$761,Closed_Deals!$B$2:$B$761,A19,Closed_Deals!$N$2:$N$761,"Won"))</f>
        <v>46244</v>
      </c>
      <c r="M19" s="7" t="n">
        <f aca="false">COUNTIF(Open_Pipeline!$B$2:$B$151,A19)</f>
        <v>1</v>
      </c>
      <c r="N19" s="10" t="n">
        <f aca="false">SUMIF(Open_Pipeline!$B$2:$B$151,A19,Open_Pipeline!$M$2:$M$151)</f>
        <v>75888.87</v>
      </c>
      <c r="O19" s="7" t="n">
        <f aca="true">IF(F19=0,"",TODAY()-L19)</f>
        <v>30</v>
      </c>
      <c r="P19" s="7" t="str">
        <f aca="false">IF(F19&gt;=2,"Yes","No")</f>
        <v>Yes</v>
      </c>
      <c r="Q19" s="7" t="str">
        <f aca="false">IF(F19=0,"No Won Business",IF(M19&gt;0,"Active - In Pipeline",IF(O19&lt;=365,"Active",IF(O19&lt;=545,"At Risk","Churned"))))</f>
        <v>Active - In Pipeline</v>
      </c>
    </row>
    <row r="20" customFormat="false" ht="15" hidden="false" customHeight="false" outlineLevel="0" collapsed="false">
      <c r="A20" s="7" t="s">
        <v>509</v>
      </c>
      <c r="B20" s="7" t="s">
        <v>510</v>
      </c>
      <c r="C20" s="7" t="s">
        <v>104</v>
      </c>
      <c r="D20" s="7" t="s">
        <v>162</v>
      </c>
      <c r="E20" s="7" t="n">
        <f aca="false">COUNTIF(Closed_Deals!$B$2:$B$761,A20)</f>
        <v>3</v>
      </c>
      <c r="F20" s="7" t="n">
        <f aca="false">COUNTIFS(Closed_Deals!$B$2:$B$761,A20,Closed_Deals!$N$2:$N$761,"Won")</f>
        <v>1</v>
      </c>
      <c r="G20" s="7" t="n">
        <f aca="false">E20-F20</f>
        <v>2</v>
      </c>
      <c r="H20" s="11" t="n">
        <f aca="false">IFERROR(F20/E20,"")</f>
        <v>0.333333333333333</v>
      </c>
      <c r="I20" s="10" t="n">
        <f aca="false">SUMIFS(Closed_Deals!$M$2:$M$761,Closed_Deals!$B$2:$B$761,A20,Closed_Deals!$N$2:$N$761,"Won")</f>
        <v>101160.45</v>
      </c>
      <c r="J20" s="10" t="n">
        <f aca="false">IFERROR(I20/F20,"")</f>
        <v>101160.45</v>
      </c>
      <c r="K20" s="8" t="n">
        <f aca="false">IF(F20=0,"",_xlfn.MINIFS(Closed_Deals!$R$2:$R$761,Closed_Deals!$B$2:$B$761,A20,Closed_Deals!$N$2:$N$761,"Won"))</f>
        <v>45914</v>
      </c>
      <c r="L20" s="8" t="n">
        <f aca="false">IF(F20=0,"",_xlfn.MAXIFS(Closed_Deals!$R$2:$R$761,Closed_Deals!$B$2:$B$761,A20,Closed_Deals!$N$2:$N$761,"Won"))</f>
        <v>45914</v>
      </c>
      <c r="M20" s="7" t="n">
        <f aca="false">COUNTIF(Open_Pipeline!$B$2:$B$151,A20)</f>
        <v>1</v>
      </c>
      <c r="N20" s="10" t="n">
        <f aca="false">SUMIF(Open_Pipeline!$B$2:$B$151,A20,Open_Pipeline!$M$2:$M$151)</f>
        <v>312760.83</v>
      </c>
      <c r="O20" s="7" t="n">
        <f aca="true">IF(F20=0,"",TODAY()-L20)</f>
        <v>360</v>
      </c>
      <c r="P20" s="7" t="str">
        <f aca="false">IF(F20&gt;=2,"Yes","No")</f>
        <v>No</v>
      </c>
      <c r="Q20" s="7" t="str">
        <f aca="false">IF(F20=0,"No Won Business",IF(M20&gt;0,"Active - In Pipeline",IF(O20&lt;=365,"Active",IF(O20&lt;=545,"At Risk","Churned"))))</f>
        <v>Active - In Pipeline</v>
      </c>
    </row>
    <row r="21" customFormat="false" ht="15" hidden="false" customHeight="false" outlineLevel="0" collapsed="false">
      <c r="A21" s="7" t="s">
        <v>790</v>
      </c>
      <c r="B21" s="7" t="s">
        <v>791</v>
      </c>
      <c r="C21" s="7" t="s">
        <v>93</v>
      </c>
      <c r="D21" s="7" t="s">
        <v>115</v>
      </c>
      <c r="E21" s="7" t="n">
        <f aca="false">COUNTIF(Closed_Deals!$B$2:$B$761,A21)</f>
        <v>2</v>
      </c>
      <c r="F21" s="7" t="n">
        <f aca="false">COUNTIFS(Closed_Deals!$B$2:$B$761,A21,Closed_Deals!$N$2:$N$761,"Won")</f>
        <v>1</v>
      </c>
      <c r="G21" s="7" t="n">
        <f aca="false">E21-F21</f>
        <v>1</v>
      </c>
      <c r="H21" s="11" t="n">
        <f aca="false">IFERROR(F21/E21,"")</f>
        <v>0.5</v>
      </c>
      <c r="I21" s="10" t="n">
        <f aca="false">SUMIFS(Closed_Deals!$M$2:$M$761,Closed_Deals!$B$2:$B$761,A21,Closed_Deals!$N$2:$N$761,"Won")</f>
        <v>125514.58</v>
      </c>
      <c r="J21" s="10" t="n">
        <f aca="false">IFERROR(I21/F21,"")</f>
        <v>125514.58</v>
      </c>
      <c r="K21" s="8" t="n">
        <f aca="false">IF(F21=0,"",_xlfn.MINIFS(Closed_Deals!$R$2:$R$761,Closed_Deals!$B$2:$B$761,A21,Closed_Deals!$N$2:$N$761,"Won"))</f>
        <v>46124</v>
      </c>
      <c r="L21" s="8" t="n">
        <f aca="false">IF(F21=0,"",_xlfn.MAXIFS(Closed_Deals!$R$2:$R$761,Closed_Deals!$B$2:$B$761,A21,Closed_Deals!$N$2:$N$761,"Won"))</f>
        <v>46124</v>
      </c>
      <c r="M21" s="7" t="n">
        <f aca="false">COUNTIF(Open_Pipeline!$B$2:$B$151,A21)</f>
        <v>0</v>
      </c>
      <c r="N21" s="10" t="n">
        <f aca="false">SUMIF(Open_Pipeline!$B$2:$B$151,A21,Open_Pipeline!$M$2:$M$151)</f>
        <v>0</v>
      </c>
      <c r="O21" s="7" t="n">
        <f aca="true">IF(F21=0,"",TODAY()-L21)</f>
        <v>150</v>
      </c>
      <c r="P21" s="7" t="str">
        <f aca="false">IF(F21&gt;=2,"Yes","No")</f>
        <v>No</v>
      </c>
      <c r="Q21" s="7" t="str">
        <f aca="false">IF(F21=0,"No Won Business",IF(M21&gt;0,"Active - In Pipeline",IF(O21&lt;=365,"Active",IF(O21&lt;=545,"At Risk","Churned"))))</f>
        <v>Active</v>
      </c>
    </row>
    <row r="22" customFormat="false" ht="15" hidden="false" customHeight="false" outlineLevel="0" collapsed="false">
      <c r="A22" s="7" t="s">
        <v>757</v>
      </c>
      <c r="B22" s="7" t="s">
        <v>758</v>
      </c>
      <c r="C22" s="7" t="s">
        <v>151</v>
      </c>
      <c r="D22" s="7" t="s">
        <v>105</v>
      </c>
      <c r="E22" s="7" t="n">
        <f aca="false">COUNTIF(Closed_Deals!$B$2:$B$761,A22)</f>
        <v>2</v>
      </c>
      <c r="F22" s="7" t="n">
        <f aca="false">COUNTIFS(Closed_Deals!$B$2:$B$761,A22,Closed_Deals!$N$2:$N$761,"Won")</f>
        <v>0</v>
      </c>
      <c r="G22" s="7" t="n">
        <f aca="false">E22-F22</f>
        <v>2</v>
      </c>
      <c r="H22" s="11" t="n">
        <f aca="false">IFERROR(F22/E22,"")</f>
        <v>0</v>
      </c>
      <c r="I22" s="10" t="n">
        <f aca="false">SUMIFS(Closed_Deals!$M$2:$M$761,Closed_Deals!$B$2:$B$761,A22,Closed_Deals!$N$2:$N$761,"Won")</f>
        <v>0</v>
      </c>
      <c r="J22" s="10" t="str">
        <f aca="false">IFERROR(I22/F22,"")</f>
        <v/>
      </c>
      <c r="K22" s="8" t="str">
        <f aca="false">IF(F22=0,"",_xlfn.MINIFS(Closed_Deals!$R$2:$R$761,Closed_Deals!$B$2:$B$761,A22,Closed_Deals!$N$2:$N$761,"Won"))</f>
        <v/>
      </c>
      <c r="L22" s="8" t="str">
        <f aca="false">IF(F22=0,"",_xlfn.MAXIFS(Closed_Deals!$R$2:$R$761,Closed_Deals!$B$2:$B$761,A22,Closed_Deals!$N$2:$N$761,"Won"))</f>
        <v/>
      </c>
      <c r="M22" s="7" t="n">
        <f aca="false">COUNTIF(Open_Pipeline!$B$2:$B$151,A22)</f>
        <v>0</v>
      </c>
      <c r="N22" s="10" t="n">
        <f aca="false">SUMIF(Open_Pipeline!$B$2:$B$151,A22,Open_Pipeline!$M$2:$M$151)</f>
        <v>0</v>
      </c>
      <c r="O22" s="7" t="str">
        <f aca="true">IF(F22=0,"",TODAY()-L22)</f>
        <v/>
      </c>
      <c r="P22" s="7" t="str">
        <f aca="false">IF(F22&gt;=2,"Yes","No")</f>
        <v>No</v>
      </c>
      <c r="Q22" s="7" t="str">
        <f aca="false">IF(F22=0,"No Won Business",IF(M22&gt;0,"Active - In Pipeline",IF(O22&lt;=365,"Active",IF(O22&lt;=545,"At Risk","Churned"))))</f>
        <v>No Won Business</v>
      </c>
    </row>
    <row r="23" customFormat="false" ht="15" hidden="false" customHeight="false" outlineLevel="0" collapsed="false">
      <c r="A23" s="7" t="s">
        <v>457</v>
      </c>
      <c r="B23" s="7" t="s">
        <v>458</v>
      </c>
      <c r="C23" s="7" t="s">
        <v>242</v>
      </c>
      <c r="D23" s="7" t="s">
        <v>94</v>
      </c>
      <c r="E23" s="7" t="n">
        <f aca="false">COUNTIF(Closed_Deals!$B$2:$B$761,A23)</f>
        <v>10</v>
      </c>
      <c r="F23" s="7" t="n">
        <f aca="false">COUNTIFS(Closed_Deals!$B$2:$B$761,A23,Closed_Deals!$N$2:$N$761,"Won")</f>
        <v>2</v>
      </c>
      <c r="G23" s="7" t="n">
        <f aca="false">E23-F23</f>
        <v>8</v>
      </c>
      <c r="H23" s="11" t="n">
        <f aca="false">IFERROR(F23/E23,"")</f>
        <v>0.2</v>
      </c>
      <c r="I23" s="10" t="n">
        <f aca="false">SUMIFS(Closed_Deals!$M$2:$M$761,Closed_Deals!$B$2:$B$761,A23,Closed_Deals!$N$2:$N$761,"Won")</f>
        <v>263497.32</v>
      </c>
      <c r="J23" s="10" t="n">
        <f aca="false">IFERROR(I23/F23,"")</f>
        <v>131748.66</v>
      </c>
      <c r="K23" s="8" t="n">
        <f aca="false">IF(F23=0,"",_xlfn.MINIFS(Closed_Deals!$R$2:$R$761,Closed_Deals!$B$2:$B$761,A23,Closed_Deals!$N$2:$N$761,"Won"))</f>
        <v>45611</v>
      </c>
      <c r="L23" s="8" t="n">
        <f aca="false">IF(F23=0,"",_xlfn.MAXIFS(Closed_Deals!$R$2:$R$761,Closed_Deals!$B$2:$B$761,A23,Closed_Deals!$N$2:$N$761,"Won"))</f>
        <v>46164</v>
      </c>
      <c r="M23" s="7" t="n">
        <f aca="false">COUNTIF(Open_Pipeline!$B$2:$B$151,A23)</f>
        <v>0</v>
      </c>
      <c r="N23" s="10" t="n">
        <f aca="false">SUMIF(Open_Pipeline!$B$2:$B$151,A23,Open_Pipeline!$M$2:$M$151)</f>
        <v>0</v>
      </c>
      <c r="O23" s="7" t="n">
        <f aca="true">IF(F23=0,"",TODAY()-L23)</f>
        <v>110</v>
      </c>
      <c r="P23" s="7" t="str">
        <f aca="false">IF(F23&gt;=2,"Yes","No")</f>
        <v>Yes</v>
      </c>
      <c r="Q23" s="7" t="str">
        <f aca="false">IF(F23=0,"No Won Business",IF(M23&gt;0,"Active - In Pipeline",IF(O23&lt;=365,"Active",IF(O23&lt;=545,"At Risk","Churned"))))</f>
        <v>Active</v>
      </c>
    </row>
    <row r="24" customFormat="false" ht="15" hidden="false" customHeight="false" outlineLevel="0" collapsed="false">
      <c r="A24" s="7" t="s">
        <v>133</v>
      </c>
      <c r="B24" s="7" t="s">
        <v>134</v>
      </c>
      <c r="C24" s="7" t="s">
        <v>135</v>
      </c>
      <c r="D24" s="7" t="s">
        <v>94</v>
      </c>
      <c r="E24" s="7" t="n">
        <f aca="false">COUNTIF(Closed_Deals!$B$2:$B$761,A24)</f>
        <v>6</v>
      </c>
      <c r="F24" s="7" t="n">
        <f aca="false">COUNTIFS(Closed_Deals!$B$2:$B$761,A24,Closed_Deals!$N$2:$N$761,"Won")</f>
        <v>3</v>
      </c>
      <c r="G24" s="7" t="n">
        <f aca="false">E24-F24</f>
        <v>3</v>
      </c>
      <c r="H24" s="11" t="n">
        <f aca="false">IFERROR(F24/E24,"")</f>
        <v>0.5</v>
      </c>
      <c r="I24" s="10" t="n">
        <f aca="false">SUMIFS(Closed_Deals!$M$2:$M$761,Closed_Deals!$B$2:$B$761,A24,Closed_Deals!$N$2:$N$761,"Won")</f>
        <v>224923.68</v>
      </c>
      <c r="J24" s="10" t="n">
        <f aca="false">IFERROR(I24/F24,"")</f>
        <v>74974.56</v>
      </c>
      <c r="K24" s="8" t="n">
        <f aca="false">IF(F24=0,"",_xlfn.MINIFS(Closed_Deals!$R$2:$R$761,Closed_Deals!$B$2:$B$761,A24,Closed_Deals!$N$2:$N$761,"Won"))</f>
        <v>45296</v>
      </c>
      <c r="L24" s="8" t="n">
        <f aca="false">IF(F24=0,"",_xlfn.MAXIFS(Closed_Deals!$R$2:$R$761,Closed_Deals!$B$2:$B$761,A24,Closed_Deals!$N$2:$N$761,"Won"))</f>
        <v>45966</v>
      </c>
      <c r="M24" s="7" t="n">
        <f aca="false">COUNTIF(Open_Pipeline!$B$2:$B$151,A24)</f>
        <v>1</v>
      </c>
      <c r="N24" s="10" t="n">
        <f aca="false">SUMIF(Open_Pipeline!$B$2:$B$151,A24,Open_Pipeline!$M$2:$M$151)</f>
        <v>40229.59</v>
      </c>
      <c r="O24" s="7" t="n">
        <f aca="true">IF(F24=0,"",TODAY()-L24)</f>
        <v>308</v>
      </c>
      <c r="P24" s="7" t="str">
        <f aca="false">IF(F24&gt;=2,"Yes","No")</f>
        <v>Yes</v>
      </c>
      <c r="Q24" s="7" t="str">
        <f aca="false">IF(F24=0,"No Won Business",IF(M24&gt;0,"Active - In Pipeline",IF(O24&lt;=365,"Active",IF(O24&lt;=545,"At Risk","Churned"))))</f>
        <v>Active - In Pipeline</v>
      </c>
    </row>
    <row r="25" customFormat="false" ht="15" hidden="false" customHeight="false" outlineLevel="0" collapsed="false">
      <c r="A25" s="7" t="s">
        <v>1498</v>
      </c>
      <c r="B25" s="7" t="s">
        <v>1499</v>
      </c>
      <c r="C25" s="7" t="s">
        <v>135</v>
      </c>
      <c r="D25" s="7" t="s">
        <v>115</v>
      </c>
      <c r="E25" s="7" t="n">
        <f aca="false">COUNTIF(Closed_Deals!$B$2:$B$761,A25)</f>
        <v>0</v>
      </c>
      <c r="F25" s="7" t="n">
        <f aca="false">COUNTIFS(Closed_Deals!$B$2:$B$761,A25,Closed_Deals!$N$2:$N$761,"Won")</f>
        <v>0</v>
      </c>
      <c r="G25" s="7" t="n">
        <f aca="false">E25-F25</f>
        <v>0</v>
      </c>
      <c r="H25" s="11" t="str">
        <f aca="false">IFERROR(F25/E25,"")</f>
        <v/>
      </c>
      <c r="I25" s="10" t="n">
        <f aca="false">SUMIFS(Closed_Deals!$M$2:$M$761,Closed_Deals!$B$2:$B$761,A25,Closed_Deals!$N$2:$N$761,"Won")</f>
        <v>0</v>
      </c>
      <c r="J25" s="10" t="str">
        <f aca="false">IFERROR(I25/F25,"")</f>
        <v/>
      </c>
      <c r="K25" s="8" t="str">
        <f aca="false">IF(F25=0,"",_xlfn.MINIFS(Closed_Deals!$R$2:$R$761,Closed_Deals!$B$2:$B$761,A25,Closed_Deals!$N$2:$N$761,"Won"))</f>
        <v/>
      </c>
      <c r="L25" s="8" t="str">
        <f aca="false">IF(F25=0,"",_xlfn.MAXIFS(Closed_Deals!$R$2:$R$761,Closed_Deals!$B$2:$B$761,A25,Closed_Deals!$N$2:$N$761,"Won"))</f>
        <v/>
      </c>
      <c r="M25" s="7" t="n">
        <f aca="false">COUNTIF(Open_Pipeline!$B$2:$B$151,A25)</f>
        <v>0</v>
      </c>
      <c r="N25" s="10" t="n">
        <f aca="false">SUMIF(Open_Pipeline!$B$2:$B$151,A25,Open_Pipeline!$M$2:$M$151)</f>
        <v>0</v>
      </c>
      <c r="O25" s="7" t="str">
        <f aca="true">IF(F25=0,"",TODAY()-L25)</f>
        <v/>
      </c>
      <c r="P25" s="7" t="str">
        <f aca="false">IF(F25&gt;=2,"Yes","No")</f>
        <v>No</v>
      </c>
      <c r="Q25" s="7" t="str">
        <f aca="false">IF(F25=0,"No Won Business",IF(M25&gt;0,"Active - In Pipeline",IF(O25&lt;=365,"Active",IF(O25&lt;=545,"At Risk","Churned"))))</f>
        <v>No Won Business</v>
      </c>
    </row>
    <row r="26" customFormat="false" ht="15" hidden="false" customHeight="false" outlineLevel="0" collapsed="false">
      <c r="A26" s="7" t="s">
        <v>1500</v>
      </c>
      <c r="B26" s="7" t="s">
        <v>1501</v>
      </c>
      <c r="C26" s="7" t="s">
        <v>104</v>
      </c>
      <c r="D26" s="7" t="s">
        <v>94</v>
      </c>
      <c r="E26" s="7" t="n">
        <f aca="false">COUNTIF(Closed_Deals!$B$2:$B$761,A26)</f>
        <v>0</v>
      </c>
      <c r="F26" s="7" t="n">
        <f aca="false">COUNTIFS(Closed_Deals!$B$2:$B$761,A26,Closed_Deals!$N$2:$N$761,"Won")</f>
        <v>0</v>
      </c>
      <c r="G26" s="7" t="n">
        <f aca="false">E26-F26</f>
        <v>0</v>
      </c>
      <c r="H26" s="11" t="str">
        <f aca="false">IFERROR(F26/E26,"")</f>
        <v/>
      </c>
      <c r="I26" s="10" t="n">
        <f aca="false">SUMIFS(Closed_Deals!$M$2:$M$761,Closed_Deals!$B$2:$B$761,A26,Closed_Deals!$N$2:$N$761,"Won")</f>
        <v>0</v>
      </c>
      <c r="J26" s="10" t="str">
        <f aca="false">IFERROR(I26/F26,"")</f>
        <v/>
      </c>
      <c r="K26" s="8" t="str">
        <f aca="false">IF(F26=0,"",_xlfn.MINIFS(Closed_Deals!$R$2:$R$761,Closed_Deals!$B$2:$B$761,A26,Closed_Deals!$N$2:$N$761,"Won"))</f>
        <v/>
      </c>
      <c r="L26" s="8" t="str">
        <f aca="false">IF(F26=0,"",_xlfn.MAXIFS(Closed_Deals!$R$2:$R$761,Closed_Deals!$B$2:$B$761,A26,Closed_Deals!$N$2:$N$761,"Won"))</f>
        <v/>
      </c>
      <c r="M26" s="7" t="n">
        <f aca="false">COUNTIF(Open_Pipeline!$B$2:$B$151,A26)</f>
        <v>0</v>
      </c>
      <c r="N26" s="10" t="n">
        <f aca="false">SUMIF(Open_Pipeline!$B$2:$B$151,A26,Open_Pipeline!$M$2:$M$151)</f>
        <v>0</v>
      </c>
      <c r="O26" s="7" t="str">
        <f aca="true">IF(F26=0,"",TODAY()-L26)</f>
        <v/>
      </c>
      <c r="P26" s="7" t="str">
        <f aca="false">IF(F26&gt;=2,"Yes","No")</f>
        <v>No</v>
      </c>
      <c r="Q26" s="7" t="str">
        <f aca="false">IF(F26=0,"No Won Business",IF(M26&gt;0,"Active - In Pipeline",IF(O26&lt;=365,"Active",IF(O26&lt;=545,"At Risk","Churned"))))</f>
        <v>No Won Business</v>
      </c>
    </row>
    <row r="27" customFormat="false" ht="15" hidden="false" customHeight="false" outlineLevel="0" collapsed="false">
      <c r="A27" s="7" t="s">
        <v>573</v>
      </c>
      <c r="B27" s="7" t="s">
        <v>574</v>
      </c>
      <c r="C27" s="7" t="s">
        <v>201</v>
      </c>
      <c r="D27" s="7" t="s">
        <v>115</v>
      </c>
      <c r="E27" s="7" t="n">
        <f aca="false">COUNTIF(Closed_Deals!$B$2:$B$761,A27)</f>
        <v>2</v>
      </c>
      <c r="F27" s="7" t="n">
        <f aca="false">COUNTIFS(Closed_Deals!$B$2:$B$761,A27,Closed_Deals!$N$2:$N$761,"Won")</f>
        <v>1</v>
      </c>
      <c r="G27" s="7" t="n">
        <f aca="false">E27-F27</f>
        <v>1</v>
      </c>
      <c r="H27" s="11" t="n">
        <f aca="false">IFERROR(F27/E27,"")</f>
        <v>0.5</v>
      </c>
      <c r="I27" s="10" t="n">
        <f aca="false">SUMIFS(Closed_Deals!$M$2:$M$761,Closed_Deals!$B$2:$B$761,A27,Closed_Deals!$N$2:$N$761,"Won")</f>
        <v>121474.7</v>
      </c>
      <c r="J27" s="10" t="n">
        <f aca="false">IFERROR(I27/F27,"")</f>
        <v>121474.7</v>
      </c>
      <c r="K27" s="8" t="n">
        <f aca="false">IF(F27=0,"",_xlfn.MINIFS(Closed_Deals!$R$2:$R$761,Closed_Deals!$B$2:$B$761,A27,Closed_Deals!$N$2:$N$761,"Won"))</f>
        <v>45733</v>
      </c>
      <c r="L27" s="8" t="n">
        <f aca="false">IF(F27=0,"",_xlfn.MAXIFS(Closed_Deals!$R$2:$R$761,Closed_Deals!$B$2:$B$761,A27,Closed_Deals!$N$2:$N$761,"Won"))</f>
        <v>45733</v>
      </c>
      <c r="M27" s="7" t="n">
        <f aca="false">COUNTIF(Open_Pipeline!$B$2:$B$151,A27)</f>
        <v>0</v>
      </c>
      <c r="N27" s="10" t="n">
        <f aca="false">SUMIF(Open_Pipeline!$B$2:$B$151,A27,Open_Pipeline!$M$2:$M$151)</f>
        <v>0</v>
      </c>
      <c r="O27" s="7" t="n">
        <f aca="true">IF(F27=0,"",TODAY()-L27)</f>
        <v>541</v>
      </c>
      <c r="P27" s="7" t="str">
        <f aca="false">IF(F27&gt;=2,"Yes","No")</f>
        <v>No</v>
      </c>
      <c r="Q27" s="7" t="str">
        <f aca="false">IF(F27=0,"No Won Business",IF(M27&gt;0,"Active - In Pipeline",IF(O27&lt;=365,"Active",IF(O27&lt;=545,"At Risk","Churned"))))</f>
        <v>At Risk</v>
      </c>
    </row>
    <row r="28" customFormat="false" ht="15" hidden="false" customHeight="false" outlineLevel="0" collapsed="false">
      <c r="A28" s="7" t="s">
        <v>169</v>
      </c>
      <c r="B28" s="7" t="s">
        <v>170</v>
      </c>
      <c r="C28" s="7" t="s">
        <v>104</v>
      </c>
      <c r="D28" s="7" t="s">
        <v>94</v>
      </c>
      <c r="E28" s="7" t="n">
        <f aca="false">COUNTIF(Closed_Deals!$B$2:$B$761,A28)</f>
        <v>7</v>
      </c>
      <c r="F28" s="7" t="n">
        <f aca="false">COUNTIFS(Closed_Deals!$B$2:$B$761,A28,Closed_Deals!$N$2:$N$761,"Won")</f>
        <v>3</v>
      </c>
      <c r="G28" s="7" t="n">
        <f aca="false">E28-F28</f>
        <v>4</v>
      </c>
      <c r="H28" s="11" t="n">
        <f aca="false">IFERROR(F28/E28,"")</f>
        <v>0.428571428571429</v>
      </c>
      <c r="I28" s="10" t="n">
        <f aca="false">SUMIFS(Closed_Deals!$M$2:$M$761,Closed_Deals!$B$2:$B$761,A28,Closed_Deals!$N$2:$N$761,"Won")</f>
        <v>191719.02</v>
      </c>
      <c r="J28" s="10" t="n">
        <f aca="false">IFERROR(I28/F28,"")</f>
        <v>63906.34</v>
      </c>
      <c r="K28" s="8" t="n">
        <f aca="false">IF(F28=0,"",_xlfn.MINIFS(Closed_Deals!$R$2:$R$761,Closed_Deals!$B$2:$B$761,A28,Closed_Deals!$N$2:$N$761,"Won"))</f>
        <v>45360</v>
      </c>
      <c r="L28" s="8" t="n">
        <f aca="false">IF(F28=0,"",_xlfn.MAXIFS(Closed_Deals!$R$2:$R$761,Closed_Deals!$B$2:$B$761,A28,Closed_Deals!$N$2:$N$761,"Won"))</f>
        <v>46118</v>
      </c>
      <c r="M28" s="7" t="n">
        <f aca="false">COUNTIF(Open_Pipeline!$B$2:$B$151,A28)</f>
        <v>0</v>
      </c>
      <c r="N28" s="10" t="n">
        <f aca="false">SUMIF(Open_Pipeline!$B$2:$B$151,A28,Open_Pipeline!$M$2:$M$151)</f>
        <v>0</v>
      </c>
      <c r="O28" s="7" t="n">
        <f aca="true">IF(F28=0,"",TODAY()-L28)</f>
        <v>156</v>
      </c>
      <c r="P28" s="7" t="str">
        <f aca="false">IF(F28&gt;=2,"Yes","No")</f>
        <v>Yes</v>
      </c>
      <c r="Q28" s="7" t="str">
        <f aca="false">IF(F28=0,"No Won Business",IF(M28&gt;0,"Active - In Pipeline",IF(O28&lt;=365,"Active",IF(O28&lt;=545,"At Risk","Churned"))))</f>
        <v>Active</v>
      </c>
    </row>
    <row r="29" customFormat="false" ht="15" hidden="false" customHeight="false" outlineLevel="0" collapsed="false">
      <c r="A29" s="7" t="s">
        <v>645</v>
      </c>
      <c r="B29" s="7" t="s">
        <v>646</v>
      </c>
      <c r="C29" s="7" t="s">
        <v>242</v>
      </c>
      <c r="D29" s="7" t="s">
        <v>162</v>
      </c>
      <c r="E29" s="7" t="n">
        <f aca="false">COUNTIF(Closed_Deals!$B$2:$B$761,A29)</f>
        <v>4</v>
      </c>
      <c r="F29" s="7" t="n">
        <f aca="false">COUNTIFS(Closed_Deals!$B$2:$B$761,A29,Closed_Deals!$N$2:$N$761,"Won")</f>
        <v>1</v>
      </c>
      <c r="G29" s="7" t="n">
        <f aca="false">E29-F29</f>
        <v>3</v>
      </c>
      <c r="H29" s="11" t="n">
        <f aca="false">IFERROR(F29/E29,"")</f>
        <v>0.25</v>
      </c>
      <c r="I29" s="10" t="n">
        <f aca="false">SUMIFS(Closed_Deals!$M$2:$M$761,Closed_Deals!$B$2:$B$761,A29,Closed_Deals!$N$2:$N$761,"Won")</f>
        <v>43634.79</v>
      </c>
      <c r="J29" s="10" t="n">
        <f aca="false">IFERROR(I29/F29,"")</f>
        <v>43634.79</v>
      </c>
      <c r="K29" s="8" t="n">
        <f aca="false">IF(F29=0,"",_xlfn.MINIFS(Closed_Deals!$R$2:$R$761,Closed_Deals!$B$2:$B$761,A29,Closed_Deals!$N$2:$N$761,"Won"))</f>
        <v>46336</v>
      </c>
      <c r="L29" s="8" t="n">
        <f aca="false">IF(F29=0,"",_xlfn.MAXIFS(Closed_Deals!$R$2:$R$761,Closed_Deals!$B$2:$B$761,A29,Closed_Deals!$N$2:$N$761,"Won"))</f>
        <v>46336</v>
      </c>
      <c r="M29" s="7" t="n">
        <f aca="false">COUNTIF(Open_Pipeline!$B$2:$B$151,A29)</f>
        <v>0</v>
      </c>
      <c r="N29" s="10" t="n">
        <f aca="false">SUMIF(Open_Pipeline!$B$2:$B$151,A29,Open_Pipeline!$M$2:$M$151)</f>
        <v>0</v>
      </c>
      <c r="O29" s="7" t="n">
        <f aca="true">IF(F29=0,"",TODAY()-L29)</f>
        <v>-62</v>
      </c>
      <c r="P29" s="7" t="str">
        <f aca="false">IF(F29&gt;=2,"Yes","No")</f>
        <v>No</v>
      </c>
      <c r="Q29" s="7" t="str">
        <f aca="false">IF(F29=0,"No Won Business",IF(M29&gt;0,"Active - In Pipeline",IF(O29&lt;=365,"Active",IF(O29&lt;=545,"At Risk","Churned"))))</f>
        <v>Active</v>
      </c>
    </row>
    <row r="30" customFormat="false" ht="15" hidden="false" customHeight="false" outlineLevel="0" collapsed="false">
      <c r="A30" s="7" t="s">
        <v>1502</v>
      </c>
      <c r="B30" s="7" t="s">
        <v>1503</v>
      </c>
      <c r="C30" s="7" t="s">
        <v>201</v>
      </c>
      <c r="D30" s="7" t="s">
        <v>105</v>
      </c>
      <c r="E30" s="7" t="n">
        <f aca="false">COUNTIF(Closed_Deals!$B$2:$B$761,A30)</f>
        <v>0</v>
      </c>
      <c r="F30" s="7" t="n">
        <f aca="false">COUNTIFS(Closed_Deals!$B$2:$B$761,A30,Closed_Deals!$N$2:$N$761,"Won")</f>
        <v>0</v>
      </c>
      <c r="G30" s="7" t="n">
        <f aca="false">E30-F30</f>
        <v>0</v>
      </c>
      <c r="H30" s="11" t="str">
        <f aca="false">IFERROR(F30/E30,"")</f>
        <v/>
      </c>
      <c r="I30" s="10" t="n">
        <f aca="false">SUMIFS(Closed_Deals!$M$2:$M$761,Closed_Deals!$B$2:$B$761,A30,Closed_Deals!$N$2:$N$761,"Won")</f>
        <v>0</v>
      </c>
      <c r="J30" s="10" t="str">
        <f aca="false">IFERROR(I30/F30,"")</f>
        <v/>
      </c>
      <c r="K30" s="8" t="str">
        <f aca="false">IF(F30=0,"",_xlfn.MINIFS(Closed_Deals!$R$2:$R$761,Closed_Deals!$B$2:$B$761,A30,Closed_Deals!$N$2:$N$761,"Won"))</f>
        <v/>
      </c>
      <c r="L30" s="8" t="str">
        <f aca="false">IF(F30=0,"",_xlfn.MAXIFS(Closed_Deals!$R$2:$R$761,Closed_Deals!$B$2:$B$761,A30,Closed_Deals!$N$2:$N$761,"Won"))</f>
        <v/>
      </c>
      <c r="M30" s="7" t="n">
        <f aca="false">COUNTIF(Open_Pipeline!$B$2:$B$151,A30)</f>
        <v>0</v>
      </c>
      <c r="N30" s="10" t="n">
        <f aca="false">SUMIF(Open_Pipeline!$B$2:$B$151,A30,Open_Pipeline!$M$2:$M$151)</f>
        <v>0</v>
      </c>
      <c r="O30" s="7" t="str">
        <f aca="true">IF(F30=0,"",TODAY()-L30)</f>
        <v/>
      </c>
      <c r="P30" s="7" t="str">
        <f aca="false">IF(F30&gt;=2,"Yes","No")</f>
        <v>No</v>
      </c>
      <c r="Q30" s="7" t="str">
        <f aca="false">IF(F30=0,"No Won Business",IF(M30&gt;0,"Active - In Pipeline",IF(O30&lt;=365,"Active",IF(O30&lt;=545,"At Risk","Churned"))))</f>
        <v>No Won Business</v>
      </c>
    </row>
    <row r="31" customFormat="false" ht="15" hidden="false" customHeight="false" outlineLevel="0" collapsed="false">
      <c r="A31" s="7" t="s">
        <v>1080</v>
      </c>
      <c r="B31" s="7" t="s">
        <v>1081</v>
      </c>
      <c r="C31" s="7" t="s">
        <v>93</v>
      </c>
      <c r="D31" s="7" t="s">
        <v>115</v>
      </c>
      <c r="E31" s="7" t="n">
        <f aca="false">COUNTIF(Closed_Deals!$B$2:$B$761,A31)</f>
        <v>1</v>
      </c>
      <c r="F31" s="7" t="n">
        <f aca="false">COUNTIFS(Closed_Deals!$B$2:$B$761,A31,Closed_Deals!$N$2:$N$761,"Won")</f>
        <v>0</v>
      </c>
      <c r="G31" s="7" t="n">
        <f aca="false">E31-F31</f>
        <v>1</v>
      </c>
      <c r="H31" s="11" t="n">
        <f aca="false">IFERROR(F31/E31,"")</f>
        <v>0</v>
      </c>
      <c r="I31" s="10" t="n">
        <f aca="false">SUMIFS(Closed_Deals!$M$2:$M$761,Closed_Deals!$B$2:$B$761,A31,Closed_Deals!$N$2:$N$761,"Won")</f>
        <v>0</v>
      </c>
      <c r="J31" s="10" t="str">
        <f aca="false">IFERROR(I31/F31,"")</f>
        <v/>
      </c>
      <c r="K31" s="8" t="str">
        <f aca="false">IF(F31=0,"",_xlfn.MINIFS(Closed_Deals!$R$2:$R$761,Closed_Deals!$B$2:$B$761,A31,Closed_Deals!$N$2:$N$761,"Won"))</f>
        <v/>
      </c>
      <c r="L31" s="8" t="str">
        <f aca="false">IF(F31=0,"",_xlfn.MAXIFS(Closed_Deals!$R$2:$R$761,Closed_Deals!$B$2:$B$761,A31,Closed_Deals!$N$2:$N$761,"Won"))</f>
        <v/>
      </c>
      <c r="M31" s="7" t="n">
        <f aca="false">COUNTIF(Open_Pipeline!$B$2:$B$151,A31)</f>
        <v>0</v>
      </c>
      <c r="N31" s="10" t="n">
        <f aca="false">SUMIF(Open_Pipeline!$B$2:$B$151,A31,Open_Pipeline!$M$2:$M$151)</f>
        <v>0</v>
      </c>
      <c r="O31" s="7" t="str">
        <f aca="true">IF(F31=0,"",TODAY()-L31)</f>
        <v/>
      </c>
      <c r="P31" s="7" t="str">
        <f aca="false">IF(F31&gt;=2,"Yes","No")</f>
        <v>No</v>
      </c>
      <c r="Q31" s="7" t="str">
        <f aca="false">IF(F31=0,"No Won Business",IF(M31&gt;0,"Active - In Pipeline",IF(O31&lt;=365,"Active",IF(O31&lt;=545,"At Risk","Churned"))))</f>
        <v>No Won Business</v>
      </c>
    </row>
    <row r="32" customFormat="false" ht="15" hidden="false" customHeight="false" outlineLevel="0" collapsed="false">
      <c r="A32" s="7" t="s">
        <v>821</v>
      </c>
      <c r="B32" s="7" t="s">
        <v>822</v>
      </c>
      <c r="C32" s="7" t="s">
        <v>201</v>
      </c>
      <c r="D32" s="7" t="s">
        <v>105</v>
      </c>
      <c r="E32" s="7" t="n">
        <f aca="false">COUNTIF(Closed_Deals!$B$2:$B$761,A32)</f>
        <v>7</v>
      </c>
      <c r="F32" s="7" t="n">
        <f aca="false">COUNTIFS(Closed_Deals!$B$2:$B$761,A32,Closed_Deals!$N$2:$N$761,"Won")</f>
        <v>1</v>
      </c>
      <c r="G32" s="7" t="n">
        <f aca="false">E32-F32</f>
        <v>6</v>
      </c>
      <c r="H32" s="11" t="n">
        <f aca="false">IFERROR(F32/E32,"")</f>
        <v>0.142857142857143</v>
      </c>
      <c r="I32" s="10" t="n">
        <f aca="false">SUMIFS(Closed_Deals!$M$2:$M$761,Closed_Deals!$B$2:$B$761,A32,Closed_Deals!$N$2:$N$761,"Won")</f>
        <v>191763.16</v>
      </c>
      <c r="J32" s="10" t="n">
        <f aca="false">IFERROR(I32/F32,"")</f>
        <v>191763.16</v>
      </c>
      <c r="K32" s="8" t="n">
        <f aca="false">IF(F32=0,"",_xlfn.MINIFS(Closed_Deals!$R$2:$R$761,Closed_Deals!$B$2:$B$761,A32,Closed_Deals!$N$2:$N$761,"Won"))</f>
        <v>45928</v>
      </c>
      <c r="L32" s="8" t="n">
        <f aca="false">IF(F32=0,"",_xlfn.MAXIFS(Closed_Deals!$R$2:$R$761,Closed_Deals!$B$2:$B$761,A32,Closed_Deals!$N$2:$N$761,"Won"))</f>
        <v>45928</v>
      </c>
      <c r="M32" s="7" t="n">
        <f aca="false">COUNTIF(Open_Pipeline!$B$2:$B$151,A32)</f>
        <v>1</v>
      </c>
      <c r="N32" s="10" t="n">
        <f aca="false">SUMIF(Open_Pipeline!$B$2:$B$151,A32,Open_Pipeline!$M$2:$M$151)</f>
        <v>94829.4</v>
      </c>
      <c r="O32" s="7" t="n">
        <f aca="true">IF(F32=0,"",TODAY()-L32)</f>
        <v>346</v>
      </c>
      <c r="P32" s="7" t="str">
        <f aca="false">IF(F32&gt;=2,"Yes","No")</f>
        <v>No</v>
      </c>
      <c r="Q32" s="7" t="str">
        <f aca="false">IF(F32=0,"No Won Business",IF(M32&gt;0,"Active - In Pipeline",IF(O32&lt;=365,"Active",IF(O32&lt;=545,"At Risk","Churned"))))</f>
        <v>Active - In Pipeline</v>
      </c>
    </row>
    <row r="33" customFormat="false" ht="15" hidden="false" customHeight="false" outlineLevel="0" collapsed="false">
      <c r="A33" s="7" t="s">
        <v>1424</v>
      </c>
      <c r="B33" s="7" t="s">
        <v>1425</v>
      </c>
      <c r="C33" s="7" t="s">
        <v>242</v>
      </c>
      <c r="D33" s="7" t="s">
        <v>94</v>
      </c>
      <c r="E33" s="7" t="n">
        <f aca="false">COUNTIF(Closed_Deals!$B$2:$B$761,A33)</f>
        <v>0</v>
      </c>
      <c r="F33" s="7" t="n">
        <f aca="false">COUNTIFS(Closed_Deals!$B$2:$B$761,A33,Closed_Deals!$N$2:$N$761,"Won")</f>
        <v>0</v>
      </c>
      <c r="G33" s="7" t="n">
        <f aca="false">E33-F33</f>
        <v>0</v>
      </c>
      <c r="H33" s="11" t="str">
        <f aca="false">IFERROR(F33/E33,"")</f>
        <v/>
      </c>
      <c r="I33" s="10" t="n">
        <f aca="false">SUMIFS(Closed_Deals!$M$2:$M$761,Closed_Deals!$B$2:$B$761,A33,Closed_Deals!$N$2:$N$761,"Won")</f>
        <v>0</v>
      </c>
      <c r="J33" s="10" t="str">
        <f aca="false">IFERROR(I33/F33,"")</f>
        <v/>
      </c>
      <c r="K33" s="8" t="str">
        <f aca="false">IF(F33=0,"",_xlfn.MINIFS(Closed_Deals!$R$2:$R$761,Closed_Deals!$B$2:$B$761,A33,Closed_Deals!$N$2:$N$761,"Won"))</f>
        <v/>
      </c>
      <c r="L33" s="8" t="str">
        <f aca="false">IF(F33=0,"",_xlfn.MAXIFS(Closed_Deals!$R$2:$R$761,Closed_Deals!$B$2:$B$761,A33,Closed_Deals!$N$2:$N$761,"Won"))</f>
        <v/>
      </c>
      <c r="M33" s="7" t="n">
        <f aca="false">COUNTIF(Open_Pipeline!$B$2:$B$151,A33)</f>
        <v>1</v>
      </c>
      <c r="N33" s="10" t="n">
        <f aca="false">SUMIF(Open_Pipeline!$B$2:$B$151,A33,Open_Pipeline!$M$2:$M$151)</f>
        <v>78032.19</v>
      </c>
      <c r="O33" s="7" t="str">
        <f aca="true">IF(F33=0,"",TODAY()-L33)</f>
        <v/>
      </c>
      <c r="P33" s="7" t="str">
        <f aca="false">IF(F33&gt;=2,"Yes","No")</f>
        <v>No</v>
      </c>
      <c r="Q33" s="7" t="str">
        <f aca="false">IF(F33=0,"No Won Business",IF(M33&gt;0,"Active - In Pipeline",IF(O33&lt;=365,"Active",IF(O33&lt;=545,"At Risk","Churned"))))</f>
        <v>No Won Business</v>
      </c>
    </row>
    <row r="34" customFormat="false" ht="15" hidden="false" customHeight="false" outlineLevel="0" collapsed="false">
      <c r="A34" s="7" t="s">
        <v>1504</v>
      </c>
      <c r="B34" s="7" t="s">
        <v>1505</v>
      </c>
      <c r="C34" s="7" t="s">
        <v>114</v>
      </c>
      <c r="D34" s="7" t="s">
        <v>162</v>
      </c>
      <c r="E34" s="7" t="n">
        <f aca="false">COUNTIF(Closed_Deals!$B$2:$B$761,A34)</f>
        <v>0</v>
      </c>
      <c r="F34" s="7" t="n">
        <f aca="false">COUNTIFS(Closed_Deals!$B$2:$B$761,A34,Closed_Deals!$N$2:$N$761,"Won")</f>
        <v>0</v>
      </c>
      <c r="G34" s="7" t="n">
        <f aca="false">E34-F34</f>
        <v>0</v>
      </c>
      <c r="H34" s="11" t="str">
        <f aca="false">IFERROR(F34/E34,"")</f>
        <v/>
      </c>
      <c r="I34" s="10" t="n">
        <f aca="false">SUMIFS(Closed_Deals!$M$2:$M$761,Closed_Deals!$B$2:$B$761,A34,Closed_Deals!$N$2:$N$761,"Won")</f>
        <v>0</v>
      </c>
      <c r="J34" s="10" t="str">
        <f aca="false">IFERROR(I34/F34,"")</f>
        <v/>
      </c>
      <c r="K34" s="8" t="str">
        <f aca="false">IF(F34=0,"",_xlfn.MINIFS(Closed_Deals!$R$2:$R$761,Closed_Deals!$B$2:$B$761,A34,Closed_Deals!$N$2:$N$761,"Won"))</f>
        <v/>
      </c>
      <c r="L34" s="8" t="str">
        <f aca="false">IF(F34=0,"",_xlfn.MAXIFS(Closed_Deals!$R$2:$R$761,Closed_Deals!$B$2:$B$761,A34,Closed_Deals!$N$2:$N$761,"Won"))</f>
        <v/>
      </c>
      <c r="M34" s="7" t="n">
        <f aca="false">COUNTIF(Open_Pipeline!$B$2:$B$151,A34)</f>
        <v>0</v>
      </c>
      <c r="N34" s="10" t="n">
        <f aca="false">SUMIF(Open_Pipeline!$B$2:$B$151,A34,Open_Pipeline!$M$2:$M$151)</f>
        <v>0</v>
      </c>
      <c r="O34" s="7" t="str">
        <f aca="true">IF(F34=0,"",TODAY()-L34)</f>
        <v/>
      </c>
      <c r="P34" s="7" t="str">
        <f aca="false">IF(F34&gt;=2,"Yes","No")</f>
        <v>No</v>
      </c>
      <c r="Q34" s="7" t="str">
        <f aca="false">IF(F34=0,"No Won Business",IF(M34&gt;0,"Active - In Pipeline",IF(O34&lt;=365,"Active",IF(O34&lt;=545,"At Risk","Churned"))))</f>
        <v>No Won Business</v>
      </c>
    </row>
    <row r="35" customFormat="false" ht="15" hidden="false" customHeight="false" outlineLevel="0" collapsed="false">
      <c r="A35" s="7" t="s">
        <v>391</v>
      </c>
      <c r="B35" s="7" t="s">
        <v>392</v>
      </c>
      <c r="C35" s="7" t="s">
        <v>104</v>
      </c>
      <c r="D35" s="7" t="s">
        <v>115</v>
      </c>
      <c r="E35" s="7" t="n">
        <f aca="false">COUNTIF(Closed_Deals!$B$2:$B$761,A35)</f>
        <v>3</v>
      </c>
      <c r="F35" s="7" t="n">
        <f aca="false">COUNTIFS(Closed_Deals!$B$2:$B$761,A35,Closed_Deals!$N$2:$N$761,"Won")</f>
        <v>0</v>
      </c>
      <c r="G35" s="7" t="n">
        <f aca="false">E35-F35</f>
        <v>3</v>
      </c>
      <c r="H35" s="11" t="n">
        <f aca="false">IFERROR(F35/E35,"")</f>
        <v>0</v>
      </c>
      <c r="I35" s="10" t="n">
        <f aca="false">SUMIFS(Closed_Deals!$M$2:$M$761,Closed_Deals!$B$2:$B$761,A35,Closed_Deals!$N$2:$N$761,"Won")</f>
        <v>0</v>
      </c>
      <c r="J35" s="10" t="str">
        <f aca="false">IFERROR(I35/F35,"")</f>
        <v/>
      </c>
      <c r="K35" s="8" t="str">
        <f aca="false">IF(F35=0,"",_xlfn.MINIFS(Closed_Deals!$R$2:$R$761,Closed_Deals!$B$2:$B$761,A35,Closed_Deals!$N$2:$N$761,"Won"))</f>
        <v/>
      </c>
      <c r="L35" s="8" t="str">
        <f aca="false">IF(F35=0,"",_xlfn.MAXIFS(Closed_Deals!$R$2:$R$761,Closed_Deals!$B$2:$B$761,A35,Closed_Deals!$N$2:$N$761,"Won"))</f>
        <v/>
      </c>
      <c r="M35" s="7" t="n">
        <f aca="false">COUNTIF(Open_Pipeline!$B$2:$B$151,A35)</f>
        <v>0</v>
      </c>
      <c r="N35" s="10" t="n">
        <f aca="false">SUMIF(Open_Pipeline!$B$2:$B$151,A35,Open_Pipeline!$M$2:$M$151)</f>
        <v>0</v>
      </c>
      <c r="O35" s="7" t="str">
        <f aca="true">IF(F35=0,"",TODAY()-L35)</f>
        <v/>
      </c>
      <c r="P35" s="7" t="str">
        <f aca="false">IF(F35&gt;=2,"Yes","No")</f>
        <v>No</v>
      </c>
      <c r="Q35" s="7" t="str">
        <f aca="false">IF(F35=0,"No Won Business",IF(M35&gt;0,"Active - In Pipeline",IF(O35&lt;=365,"Active",IF(O35&lt;=545,"At Risk","Churned"))))</f>
        <v>No Won Business</v>
      </c>
    </row>
    <row r="36" customFormat="false" ht="15" hidden="false" customHeight="false" outlineLevel="0" collapsed="false">
      <c r="A36" s="7" t="s">
        <v>730</v>
      </c>
      <c r="B36" s="7" t="s">
        <v>731</v>
      </c>
      <c r="C36" s="7" t="s">
        <v>242</v>
      </c>
      <c r="D36" s="7" t="s">
        <v>115</v>
      </c>
      <c r="E36" s="7" t="n">
        <f aca="false">COUNTIF(Closed_Deals!$B$2:$B$761,A36)</f>
        <v>1</v>
      </c>
      <c r="F36" s="7" t="n">
        <f aca="false">COUNTIFS(Closed_Deals!$B$2:$B$761,A36,Closed_Deals!$N$2:$N$761,"Won")</f>
        <v>0</v>
      </c>
      <c r="G36" s="7" t="n">
        <f aca="false">E36-F36</f>
        <v>1</v>
      </c>
      <c r="H36" s="11" t="n">
        <f aca="false">IFERROR(F36/E36,"")</f>
        <v>0</v>
      </c>
      <c r="I36" s="10" t="n">
        <f aca="false">SUMIFS(Closed_Deals!$M$2:$M$761,Closed_Deals!$B$2:$B$761,A36,Closed_Deals!$N$2:$N$761,"Won")</f>
        <v>0</v>
      </c>
      <c r="J36" s="10" t="str">
        <f aca="false">IFERROR(I36/F36,"")</f>
        <v/>
      </c>
      <c r="K36" s="8" t="str">
        <f aca="false">IF(F36=0,"",_xlfn.MINIFS(Closed_Deals!$R$2:$R$761,Closed_Deals!$B$2:$B$761,A36,Closed_Deals!$N$2:$N$761,"Won"))</f>
        <v/>
      </c>
      <c r="L36" s="8" t="str">
        <f aca="false">IF(F36=0,"",_xlfn.MAXIFS(Closed_Deals!$R$2:$R$761,Closed_Deals!$B$2:$B$761,A36,Closed_Deals!$N$2:$N$761,"Won"))</f>
        <v/>
      </c>
      <c r="M36" s="7" t="n">
        <f aca="false">COUNTIF(Open_Pipeline!$B$2:$B$151,A36)</f>
        <v>0</v>
      </c>
      <c r="N36" s="10" t="n">
        <f aca="false">SUMIF(Open_Pipeline!$B$2:$B$151,A36,Open_Pipeline!$M$2:$M$151)</f>
        <v>0</v>
      </c>
      <c r="O36" s="7" t="str">
        <f aca="true">IF(F36=0,"",TODAY()-L36)</f>
        <v/>
      </c>
      <c r="P36" s="7" t="str">
        <f aca="false">IF(F36&gt;=2,"Yes","No")</f>
        <v>No</v>
      </c>
      <c r="Q36" s="7" t="str">
        <f aca="false">IF(F36=0,"No Won Business",IF(M36&gt;0,"Active - In Pipeline",IF(O36&lt;=365,"Active",IF(O36&lt;=545,"At Risk","Churned"))))</f>
        <v>No Won Business</v>
      </c>
    </row>
    <row r="37" customFormat="false" ht="15" hidden="false" customHeight="false" outlineLevel="0" collapsed="false">
      <c r="A37" s="7" t="s">
        <v>834</v>
      </c>
      <c r="B37" s="7" t="s">
        <v>835</v>
      </c>
      <c r="C37" s="7" t="s">
        <v>93</v>
      </c>
      <c r="D37" s="7" t="s">
        <v>162</v>
      </c>
      <c r="E37" s="7" t="n">
        <f aca="false">COUNTIF(Closed_Deals!$B$2:$B$761,A37)</f>
        <v>4</v>
      </c>
      <c r="F37" s="7" t="n">
        <f aca="false">COUNTIFS(Closed_Deals!$B$2:$B$761,A37,Closed_Deals!$N$2:$N$761,"Won")</f>
        <v>1</v>
      </c>
      <c r="G37" s="7" t="n">
        <f aca="false">E37-F37</f>
        <v>3</v>
      </c>
      <c r="H37" s="11" t="n">
        <f aca="false">IFERROR(F37/E37,"")</f>
        <v>0.25</v>
      </c>
      <c r="I37" s="10" t="n">
        <f aca="false">SUMIFS(Closed_Deals!$M$2:$M$761,Closed_Deals!$B$2:$B$761,A37,Closed_Deals!$N$2:$N$761,"Won")</f>
        <v>132392.39</v>
      </c>
      <c r="J37" s="10" t="n">
        <f aca="false">IFERROR(I37/F37,"")</f>
        <v>132392.39</v>
      </c>
      <c r="K37" s="8" t="n">
        <f aca="false">IF(F37=0,"",_xlfn.MINIFS(Closed_Deals!$R$2:$R$761,Closed_Deals!$B$2:$B$761,A37,Closed_Deals!$N$2:$N$761,"Won"))</f>
        <v>46165</v>
      </c>
      <c r="L37" s="8" t="n">
        <f aca="false">IF(F37=0,"",_xlfn.MAXIFS(Closed_Deals!$R$2:$R$761,Closed_Deals!$B$2:$B$761,A37,Closed_Deals!$N$2:$N$761,"Won"))</f>
        <v>46165</v>
      </c>
      <c r="M37" s="7" t="n">
        <f aca="false">COUNTIF(Open_Pipeline!$B$2:$B$151,A37)</f>
        <v>0</v>
      </c>
      <c r="N37" s="10" t="n">
        <f aca="false">SUMIF(Open_Pipeline!$B$2:$B$151,A37,Open_Pipeline!$M$2:$M$151)</f>
        <v>0</v>
      </c>
      <c r="O37" s="7" t="n">
        <f aca="true">IF(F37=0,"",TODAY()-L37)</f>
        <v>109</v>
      </c>
      <c r="P37" s="7" t="str">
        <f aca="false">IF(F37&gt;=2,"Yes","No")</f>
        <v>No</v>
      </c>
      <c r="Q37" s="7" t="str">
        <f aca="false">IF(F37=0,"No Won Business",IF(M37&gt;0,"Active - In Pipeline",IF(O37&lt;=365,"Active",IF(O37&lt;=545,"At Risk","Churned"))))</f>
        <v>Active</v>
      </c>
    </row>
    <row r="38" customFormat="false" ht="15" hidden="false" customHeight="false" outlineLevel="0" collapsed="false">
      <c r="A38" s="7" t="s">
        <v>521</v>
      </c>
      <c r="B38" s="7" t="s">
        <v>522</v>
      </c>
      <c r="C38" s="7" t="s">
        <v>151</v>
      </c>
      <c r="D38" s="7" t="s">
        <v>115</v>
      </c>
      <c r="E38" s="7" t="n">
        <f aca="false">COUNTIF(Closed_Deals!$B$2:$B$761,A38)</f>
        <v>2</v>
      </c>
      <c r="F38" s="7" t="n">
        <f aca="false">COUNTIFS(Closed_Deals!$B$2:$B$761,A38,Closed_Deals!$N$2:$N$761,"Won")</f>
        <v>0</v>
      </c>
      <c r="G38" s="7" t="n">
        <f aca="false">E38-F38</f>
        <v>2</v>
      </c>
      <c r="H38" s="11" t="n">
        <f aca="false">IFERROR(F38/E38,"")</f>
        <v>0</v>
      </c>
      <c r="I38" s="10" t="n">
        <f aca="false">SUMIFS(Closed_Deals!$M$2:$M$761,Closed_Deals!$B$2:$B$761,A38,Closed_Deals!$N$2:$N$761,"Won")</f>
        <v>0</v>
      </c>
      <c r="J38" s="10" t="str">
        <f aca="false">IFERROR(I38/F38,"")</f>
        <v/>
      </c>
      <c r="K38" s="8" t="str">
        <f aca="false">IF(F38=0,"",_xlfn.MINIFS(Closed_Deals!$R$2:$R$761,Closed_Deals!$B$2:$B$761,A38,Closed_Deals!$N$2:$N$761,"Won"))</f>
        <v/>
      </c>
      <c r="L38" s="8" t="str">
        <f aca="false">IF(F38=0,"",_xlfn.MAXIFS(Closed_Deals!$R$2:$R$761,Closed_Deals!$B$2:$B$761,A38,Closed_Deals!$N$2:$N$761,"Won"))</f>
        <v/>
      </c>
      <c r="M38" s="7" t="n">
        <f aca="false">COUNTIF(Open_Pipeline!$B$2:$B$151,A38)</f>
        <v>1</v>
      </c>
      <c r="N38" s="10" t="n">
        <f aca="false">SUMIF(Open_Pipeline!$B$2:$B$151,A38,Open_Pipeline!$M$2:$M$151)</f>
        <v>110500.12</v>
      </c>
      <c r="O38" s="7" t="str">
        <f aca="true">IF(F38=0,"",TODAY()-L38)</f>
        <v/>
      </c>
      <c r="P38" s="7" t="str">
        <f aca="false">IF(F38&gt;=2,"Yes","No")</f>
        <v>No</v>
      </c>
      <c r="Q38" s="7" t="str">
        <f aca="false">IF(F38=0,"No Won Business",IF(M38&gt;0,"Active - In Pipeline",IF(O38&lt;=365,"Active",IF(O38&lt;=545,"At Risk","Churned"))))</f>
        <v>No Won Business</v>
      </c>
    </row>
    <row r="39" customFormat="false" ht="15" hidden="false" customHeight="false" outlineLevel="0" collapsed="false">
      <c r="A39" s="7" t="s">
        <v>421</v>
      </c>
      <c r="B39" s="7" t="s">
        <v>422</v>
      </c>
      <c r="C39" s="7" t="s">
        <v>242</v>
      </c>
      <c r="D39" s="7" t="s">
        <v>105</v>
      </c>
      <c r="E39" s="7" t="n">
        <f aca="false">COUNTIF(Closed_Deals!$B$2:$B$761,A39)</f>
        <v>3</v>
      </c>
      <c r="F39" s="7" t="n">
        <f aca="false">COUNTIFS(Closed_Deals!$B$2:$B$761,A39,Closed_Deals!$N$2:$N$761,"Won")</f>
        <v>0</v>
      </c>
      <c r="G39" s="7" t="n">
        <f aca="false">E39-F39</f>
        <v>3</v>
      </c>
      <c r="H39" s="11" t="n">
        <f aca="false">IFERROR(F39/E39,"")</f>
        <v>0</v>
      </c>
      <c r="I39" s="10" t="n">
        <f aca="false">SUMIFS(Closed_Deals!$M$2:$M$761,Closed_Deals!$B$2:$B$761,A39,Closed_Deals!$N$2:$N$761,"Won")</f>
        <v>0</v>
      </c>
      <c r="J39" s="10" t="str">
        <f aca="false">IFERROR(I39/F39,"")</f>
        <v/>
      </c>
      <c r="K39" s="8" t="str">
        <f aca="false">IF(F39=0,"",_xlfn.MINIFS(Closed_Deals!$R$2:$R$761,Closed_Deals!$B$2:$B$761,A39,Closed_Deals!$N$2:$N$761,"Won"))</f>
        <v/>
      </c>
      <c r="L39" s="8" t="str">
        <f aca="false">IF(F39=0,"",_xlfn.MAXIFS(Closed_Deals!$R$2:$R$761,Closed_Deals!$B$2:$B$761,A39,Closed_Deals!$N$2:$N$761,"Won"))</f>
        <v/>
      </c>
      <c r="M39" s="7" t="n">
        <f aca="false">COUNTIF(Open_Pipeline!$B$2:$B$151,A39)</f>
        <v>0</v>
      </c>
      <c r="N39" s="10" t="n">
        <f aca="false">SUMIF(Open_Pipeline!$B$2:$B$151,A39,Open_Pipeline!$M$2:$M$151)</f>
        <v>0</v>
      </c>
      <c r="O39" s="7" t="str">
        <f aca="true">IF(F39=0,"",TODAY()-L39)</f>
        <v/>
      </c>
      <c r="P39" s="7" t="str">
        <f aca="false">IF(F39&gt;=2,"Yes","No")</f>
        <v>No</v>
      </c>
      <c r="Q39" s="7" t="str">
        <f aca="false">IF(F39=0,"No Won Business",IF(M39&gt;0,"Active - In Pipeline",IF(O39&lt;=365,"Active",IF(O39&lt;=545,"At Risk","Churned"))))</f>
        <v>No Won Business</v>
      </c>
    </row>
    <row r="40" customFormat="false" ht="15" hidden="false" customHeight="false" outlineLevel="0" collapsed="false">
      <c r="A40" s="7" t="s">
        <v>871</v>
      </c>
      <c r="B40" s="7" t="s">
        <v>872</v>
      </c>
      <c r="C40" s="7" t="s">
        <v>114</v>
      </c>
      <c r="D40" s="7" t="s">
        <v>105</v>
      </c>
      <c r="E40" s="7" t="n">
        <f aca="false">COUNTIF(Closed_Deals!$B$2:$B$761,A40)</f>
        <v>2</v>
      </c>
      <c r="F40" s="7" t="n">
        <f aca="false">COUNTIFS(Closed_Deals!$B$2:$B$761,A40,Closed_Deals!$N$2:$N$761,"Won")</f>
        <v>1</v>
      </c>
      <c r="G40" s="7" t="n">
        <f aca="false">E40-F40</f>
        <v>1</v>
      </c>
      <c r="H40" s="11" t="n">
        <f aca="false">IFERROR(F40/E40,"")</f>
        <v>0.5</v>
      </c>
      <c r="I40" s="10" t="n">
        <f aca="false">SUMIFS(Closed_Deals!$M$2:$M$761,Closed_Deals!$B$2:$B$761,A40,Closed_Deals!$N$2:$N$761,"Won")</f>
        <v>97649.85</v>
      </c>
      <c r="J40" s="10" t="n">
        <f aca="false">IFERROR(I40/F40,"")</f>
        <v>97649.85</v>
      </c>
      <c r="K40" s="8" t="n">
        <f aca="false">IF(F40=0,"",_xlfn.MINIFS(Closed_Deals!$R$2:$R$761,Closed_Deals!$B$2:$B$761,A40,Closed_Deals!$N$2:$N$761,"Won"))</f>
        <v>46073</v>
      </c>
      <c r="L40" s="8" t="n">
        <f aca="false">IF(F40=0,"",_xlfn.MAXIFS(Closed_Deals!$R$2:$R$761,Closed_Deals!$B$2:$B$761,A40,Closed_Deals!$N$2:$N$761,"Won"))</f>
        <v>46073</v>
      </c>
      <c r="M40" s="7" t="n">
        <f aca="false">COUNTIF(Open_Pipeline!$B$2:$B$151,A40)</f>
        <v>5</v>
      </c>
      <c r="N40" s="10" t="n">
        <f aca="false">SUMIF(Open_Pipeline!$B$2:$B$151,A40,Open_Pipeline!$M$2:$M$151)</f>
        <v>303777.24</v>
      </c>
      <c r="O40" s="7" t="n">
        <f aca="true">IF(F40=0,"",TODAY()-L40)</f>
        <v>201</v>
      </c>
      <c r="P40" s="7" t="str">
        <f aca="false">IF(F40&gt;=2,"Yes","No")</f>
        <v>No</v>
      </c>
      <c r="Q40" s="7" t="str">
        <f aca="false">IF(F40=0,"No Won Business",IF(M40&gt;0,"Active - In Pipeline",IF(O40&lt;=365,"Active",IF(O40&lt;=545,"At Risk","Churned"))))</f>
        <v>Active - In Pipeline</v>
      </c>
    </row>
    <row r="41" customFormat="false" ht="15" hidden="false" customHeight="false" outlineLevel="0" collapsed="false">
      <c r="A41" s="7" t="s">
        <v>1506</v>
      </c>
      <c r="B41" s="7" t="s">
        <v>1507</v>
      </c>
      <c r="C41" s="7" t="s">
        <v>201</v>
      </c>
      <c r="D41" s="7" t="s">
        <v>162</v>
      </c>
      <c r="E41" s="7" t="n">
        <f aca="false">COUNTIF(Closed_Deals!$B$2:$B$761,A41)</f>
        <v>0</v>
      </c>
      <c r="F41" s="7" t="n">
        <f aca="false">COUNTIFS(Closed_Deals!$B$2:$B$761,A41,Closed_Deals!$N$2:$N$761,"Won")</f>
        <v>0</v>
      </c>
      <c r="G41" s="7" t="n">
        <f aca="false">E41-F41</f>
        <v>0</v>
      </c>
      <c r="H41" s="11" t="str">
        <f aca="false">IFERROR(F41/E41,"")</f>
        <v/>
      </c>
      <c r="I41" s="10" t="n">
        <f aca="false">SUMIFS(Closed_Deals!$M$2:$M$761,Closed_Deals!$B$2:$B$761,A41,Closed_Deals!$N$2:$N$761,"Won")</f>
        <v>0</v>
      </c>
      <c r="J41" s="10" t="str">
        <f aca="false">IFERROR(I41/F41,"")</f>
        <v/>
      </c>
      <c r="K41" s="8" t="str">
        <f aca="false">IF(F41=0,"",_xlfn.MINIFS(Closed_Deals!$R$2:$R$761,Closed_Deals!$B$2:$B$761,A41,Closed_Deals!$N$2:$N$761,"Won"))</f>
        <v/>
      </c>
      <c r="L41" s="8" t="str">
        <f aca="false">IF(F41=0,"",_xlfn.MAXIFS(Closed_Deals!$R$2:$R$761,Closed_Deals!$B$2:$B$761,A41,Closed_Deals!$N$2:$N$761,"Won"))</f>
        <v/>
      </c>
      <c r="M41" s="7" t="n">
        <f aca="false">COUNTIF(Open_Pipeline!$B$2:$B$151,A41)</f>
        <v>0</v>
      </c>
      <c r="N41" s="10" t="n">
        <f aca="false">SUMIF(Open_Pipeline!$B$2:$B$151,A41,Open_Pipeline!$M$2:$M$151)</f>
        <v>0</v>
      </c>
      <c r="O41" s="7" t="str">
        <f aca="true">IF(F41=0,"",TODAY()-L41)</f>
        <v/>
      </c>
      <c r="P41" s="7" t="str">
        <f aca="false">IF(F41&gt;=2,"Yes","No")</f>
        <v>No</v>
      </c>
      <c r="Q41" s="7" t="str">
        <f aca="false">IF(F41=0,"No Won Business",IF(M41&gt;0,"Active - In Pipeline",IF(O41&lt;=365,"Active",IF(O41&lt;=545,"At Risk","Churned"))))</f>
        <v>No Won Business</v>
      </c>
    </row>
    <row r="42" customFormat="false" ht="15" hidden="false" customHeight="false" outlineLevel="0" collapsed="false">
      <c r="A42" s="7" t="s">
        <v>1508</v>
      </c>
      <c r="B42" s="7" t="s">
        <v>1509</v>
      </c>
      <c r="C42" s="7" t="s">
        <v>151</v>
      </c>
      <c r="D42" s="7" t="s">
        <v>94</v>
      </c>
      <c r="E42" s="7" t="n">
        <f aca="false">COUNTIF(Closed_Deals!$B$2:$B$761,A42)</f>
        <v>0</v>
      </c>
      <c r="F42" s="7" t="n">
        <f aca="false">COUNTIFS(Closed_Deals!$B$2:$B$761,A42,Closed_Deals!$N$2:$N$761,"Won")</f>
        <v>0</v>
      </c>
      <c r="G42" s="7" t="n">
        <f aca="false">E42-F42</f>
        <v>0</v>
      </c>
      <c r="H42" s="11" t="str">
        <f aca="false">IFERROR(F42/E42,"")</f>
        <v/>
      </c>
      <c r="I42" s="10" t="n">
        <f aca="false">SUMIFS(Closed_Deals!$M$2:$M$761,Closed_Deals!$B$2:$B$761,A42,Closed_Deals!$N$2:$N$761,"Won")</f>
        <v>0</v>
      </c>
      <c r="J42" s="10" t="str">
        <f aca="false">IFERROR(I42/F42,"")</f>
        <v/>
      </c>
      <c r="K42" s="8" t="str">
        <f aca="false">IF(F42=0,"",_xlfn.MINIFS(Closed_Deals!$R$2:$R$761,Closed_Deals!$B$2:$B$761,A42,Closed_Deals!$N$2:$N$761,"Won"))</f>
        <v/>
      </c>
      <c r="L42" s="8" t="str">
        <f aca="false">IF(F42=0,"",_xlfn.MAXIFS(Closed_Deals!$R$2:$R$761,Closed_Deals!$B$2:$B$761,A42,Closed_Deals!$N$2:$N$761,"Won"))</f>
        <v/>
      </c>
      <c r="M42" s="7" t="n">
        <f aca="false">COUNTIF(Open_Pipeline!$B$2:$B$151,A42)</f>
        <v>0</v>
      </c>
      <c r="N42" s="10" t="n">
        <f aca="false">SUMIF(Open_Pipeline!$B$2:$B$151,A42,Open_Pipeline!$M$2:$M$151)</f>
        <v>0</v>
      </c>
      <c r="O42" s="7" t="str">
        <f aca="true">IF(F42=0,"",TODAY()-L42)</f>
        <v/>
      </c>
      <c r="P42" s="7" t="str">
        <f aca="false">IF(F42&gt;=2,"Yes","No")</f>
        <v>No</v>
      </c>
      <c r="Q42" s="7" t="str">
        <f aca="false">IF(F42=0,"No Won Business",IF(M42&gt;0,"Active - In Pipeline",IF(O42&lt;=365,"Active",IF(O42&lt;=545,"At Risk","Churned"))))</f>
        <v>No Won Business</v>
      </c>
    </row>
    <row r="43" customFormat="false" ht="15" hidden="false" customHeight="false" outlineLevel="0" collapsed="false">
      <c r="A43" s="7" t="s">
        <v>1510</v>
      </c>
      <c r="B43" s="7" t="s">
        <v>1511</v>
      </c>
      <c r="C43" s="7" t="s">
        <v>151</v>
      </c>
      <c r="D43" s="7" t="s">
        <v>105</v>
      </c>
      <c r="E43" s="7" t="n">
        <f aca="false">COUNTIF(Closed_Deals!$B$2:$B$761,A43)</f>
        <v>0</v>
      </c>
      <c r="F43" s="7" t="n">
        <f aca="false">COUNTIFS(Closed_Deals!$B$2:$B$761,A43,Closed_Deals!$N$2:$N$761,"Won")</f>
        <v>0</v>
      </c>
      <c r="G43" s="7" t="n">
        <f aca="false">E43-F43</f>
        <v>0</v>
      </c>
      <c r="H43" s="11" t="str">
        <f aca="false">IFERROR(F43/E43,"")</f>
        <v/>
      </c>
      <c r="I43" s="10" t="n">
        <f aca="false">SUMIFS(Closed_Deals!$M$2:$M$761,Closed_Deals!$B$2:$B$761,A43,Closed_Deals!$N$2:$N$761,"Won")</f>
        <v>0</v>
      </c>
      <c r="J43" s="10" t="str">
        <f aca="false">IFERROR(I43/F43,"")</f>
        <v/>
      </c>
      <c r="K43" s="8" t="str">
        <f aca="false">IF(F43=0,"",_xlfn.MINIFS(Closed_Deals!$R$2:$R$761,Closed_Deals!$B$2:$B$761,A43,Closed_Deals!$N$2:$N$761,"Won"))</f>
        <v/>
      </c>
      <c r="L43" s="8" t="str">
        <f aca="false">IF(F43=0,"",_xlfn.MAXIFS(Closed_Deals!$R$2:$R$761,Closed_Deals!$B$2:$B$761,A43,Closed_Deals!$N$2:$N$761,"Won"))</f>
        <v/>
      </c>
      <c r="M43" s="7" t="n">
        <f aca="false">COUNTIF(Open_Pipeline!$B$2:$B$151,A43)</f>
        <v>0</v>
      </c>
      <c r="N43" s="10" t="n">
        <f aca="false">SUMIF(Open_Pipeline!$B$2:$B$151,A43,Open_Pipeline!$M$2:$M$151)</f>
        <v>0</v>
      </c>
      <c r="O43" s="7" t="str">
        <f aca="true">IF(F43=0,"",TODAY()-L43)</f>
        <v/>
      </c>
      <c r="P43" s="7" t="str">
        <f aca="false">IF(F43&gt;=2,"Yes","No")</f>
        <v>No</v>
      </c>
      <c r="Q43" s="7" t="str">
        <f aca="false">IF(F43=0,"No Won Business",IF(M43&gt;0,"Active - In Pipeline",IF(O43&lt;=365,"Active",IF(O43&lt;=545,"At Risk","Churned"))))</f>
        <v>No Won Business</v>
      </c>
    </row>
    <row r="44" customFormat="false" ht="15" hidden="false" customHeight="false" outlineLevel="0" collapsed="false">
      <c r="A44" s="7" t="s">
        <v>234</v>
      </c>
      <c r="B44" s="7" t="s">
        <v>235</v>
      </c>
      <c r="C44" s="7" t="s">
        <v>114</v>
      </c>
      <c r="D44" s="7" t="s">
        <v>115</v>
      </c>
      <c r="E44" s="7" t="n">
        <f aca="false">COUNTIF(Closed_Deals!$B$2:$B$761,A44)</f>
        <v>9</v>
      </c>
      <c r="F44" s="7" t="n">
        <f aca="false">COUNTIFS(Closed_Deals!$B$2:$B$761,A44,Closed_Deals!$N$2:$N$761,"Won")</f>
        <v>1</v>
      </c>
      <c r="G44" s="7" t="n">
        <f aca="false">E44-F44</f>
        <v>8</v>
      </c>
      <c r="H44" s="11" t="n">
        <f aca="false">IFERROR(F44/E44,"")</f>
        <v>0.111111111111111</v>
      </c>
      <c r="I44" s="10" t="n">
        <f aca="false">SUMIFS(Closed_Deals!$M$2:$M$761,Closed_Deals!$B$2:$B$761,A44,Closed_Deals!$N$2:$N$761,"Won")</f>
        <v>157141.53</v>
      </c>
      <c r="J44" s="10" t="n">
        <f aca="false">IFERROR(I44/F44,"")</f>
        <v>157141.53</v>
      </c>
      <c r="K44" s="8" t="n">
        <f aca="false">IF(F44=0,"",_xlfn.MINIFS(Closed_Deals!$R$2:$R$761,Closed_Deals!$B$2:$B$761,A44,Closed_Deals!$N$2:$N$761,"Won"))</f>
        <v>46173</v>
      </c>
      <c r="L44" s="8" t="n">
        <f aca="false">IF(F44=0,"",_xlfn.MAXIFS(Closed_Deals!$R$2:$R$761,Closed_Deals!$B$2:$B$761,A44,Closed_Deals!$N$2:$N$761,"Won"))</f>
        <v>46173</v>
      </c>
      <c r="M44" s="7" t="n">
        <f aca="false">COUNTIF(Open_Pipeline!$B$2:$B$151,A44)</f>
        <v>0</v>
      </c>
      <c r="N44" s="10" t="n">
        <f aca="false">SUMIF(Open_Pipeline!$B$2:$B$151,A44,Open_Pipeline!$M$2:$M$151)</f>
        <v>0</v>
      </c>
      <c r="O44" s="7" t="n">
        <f aca="true">IF(F44=0,"",TODAY()-L44)</f>
        <v>101</v>
      </c>
      <c r="P44" s="7" t="str">
        <f aca="false">IF(F44&gt;=2,"Yes","No")</f>
        <v>No</v>
      </c>
      <c r="Q44" s="7" t="str">
        <f aca="false">IF(F44=0,"No Won Business",IF(M44&gt;0,"Active - In Pipeline",IF(O44&lt;=365,"Active",IF(O44&lt;=545,"At Risk","Churned"))))</f>
        <v>Active</v>
      </c>
    </row>
    <row r="45" customFormat="false" ht="15" hidden="false" customHeight="false" outlineLevel="0" collapsed="false">
      <c r="A45" s="7" t="s">
        <v>1512</v>
      </c>
      <c r="B45" s="7" t="s">
        <v>1513</v>
      </c>
      <c r="C45" s="7" t="s">
        <v>93</v>
      </c>
      <c r="D45" s="7" t="s">
        <v>94</v>
      </c>
      <c r="E45" s="7" t="n">
        <f aca="false">COUNTIF(Closed_Deals!$B$2:$B$761,A45)</f>
        <v>0</v>
      </c>
      <c r="F45" s="7" t="n">
        <f aca="false">COUNTIFS(Closed_Deals!$B$2:$B$761,A45,Closed_Deals!$N$2:$N$761,"Won")</f>
        <v>0</v>
      </c>
      <c r="G45" s="7" t="n">
        <f aca="false">E45-F45</f>
        <v>0</v>
      </c>
      <c r="H45" s="11" t="str">
        <f aca="false">IFERROR(F45/E45,"")</f>
        <v/>
      </c>
      <c r="I45" s="10" t="n">
        <f aca="false">SUMIFS(Closed_Deals!$M$2:$M$761,Closed_Deals!$B$2:$B$761,A45,Closed_Deals!$N$2:$N$761,"Won")</f>
        <v>0</v>
      </c>
      <c r="J45" s="10" t="str">
        <f aca="false">IFERROR(I45/F45,"")</f>
        <v/>
      </c>
      <c r="K45" s="8" t="str">
        <f aca="false">IF(F45=0,"",_xlfn.MINIFS(Closed_Deals!$R$2:$R$761,Closed_Deals!$B$2:$B$761,A45,Closed_Deals!$N$2:$N$761,"Won"))</f>
        <v/>
      </c>
      <c r="L45" s="8" t="str">
        <f aca="false">IF(F45=0,"",_xlfn.MAXIFS(Closed_Deals!$R$2:$R$761,Closed_Deals!$B$2:$B$761,A45,Closed_Deals!$N$2:$N$761,"Won"))</f>
        <v/>
      </c>
      <c r="M45" s="7" t="n">
        <f aca="false">COUNTIF(Open_Pipeline!$B$2:$B$151,A45)</f>
        <v>0</v>
      </c>
      <c r="N45" s="10" t="n">
        <f aca="false">SUMIF(Open_Pipeline!$B$2:$B$151,A45,Open_Pipeline!$M$2:$M$151)</f>
        <v>0</v>
      </c>
      <c r="O45" s="7" t="str">
        <f aca="true">IF(F45=0,"",TODAY()-L45)</f>
        <v/>
      </c>
      <c r="P45" s="7" t="str">
        <f aca="false">IF(F45&gt;=2,"Yes","No")</f>
        <v>No</v>
      </c>
      <c r="Q45" s="7" t="str">
        <f aca="false">IF(F45=0,"No Won Business",IF(M45&gt;0,"Active - In Pipeline",IF(O45&lt;=365,"Active",IF(O45&lt;=545,"At Risk","Churned"))))</f>
        <v>No Won Business</v>
      </c>
    </row>
    <row r="46" customFormat="false" ht="15" hidden="false" customHeight="false" outlineLevel="0" collapsed="false">
      <c r="A46" s="7" t="s">
        <v>463</v>
      </c>
      <c r="B46" s="7" t="s">
        <v>464</v>
      </c>
      <c r="C46" s="7" t="s">
        <v>151</v>
      </c>
      <c r="D46" s="7" t="s">
        <v>115</v>
      </c>
      <c r="E46" s="7" t="n">
        <f aca="false">COUNTIF(Closed_Deals!$B$2:$B$761,A46)</f>
        <v>4</v>
      </c>
      <c r="F46" s="7" t="n">
        <f aca="false">COUNTIFS(Closed_Deals!$B$2:$B$761,A46,Closed_Deals!$N$2:$N$761,"Won")</f>
        <v>1</v>
      </c>
      <c r="G46" s="7" t="n">
        <f aca="false">E46-F46</f>
        <v>3</v>
      </c>
      <c r="H46" s="11" t="n">
        <f aca="false">IFERROR(F46/E46,"")</f>
        <v>0.25</v>
      </c>
      <c r="I46" s="10" t="n">
        <f aca="false">SUMIFS(Closed_Deals!$M$2:$M$761,Closed_Deals!$B$2:$B$761,A46,Closed_Deals!$N$2:$N$761,"Won")</f>
        <v>68164.47</v>
      </c>
      <c r="J46" s="10" t="n">
        <f aca="false">IFERROR(I46/F46,"")</f>
        <v>68164.47</v>
      </c>
      <c r="K46" s="8" t="n">
        <f aca="false">IF(F46=0,"",_xlfn.MINIFS(Closed_Deals!$R$2:$R$761,Closed_Deals!$B$2:$B$761,A46,Closed_Deals!$N$2:$N$761,"Won"))</f>
        <v>45663</v>
      </c>
      <c r="L46" s="8" t="n">
        <f aca="false">IF(F46=0,"",_xlfn.MAXIFS(Closed_Deals!$R$2:$R$761,Closed_Deals!$B$2:$B$761,A46,Closed_Deals!$N$2:$N$761,"Won"))</f>
        <v>45663</v>
      </c>
      <c r="M46" s="7" t="n">
        <f aca="false">COUNTIF(Open_Pipeline!$B$2:$B$151,A46)</f>
        <v>0</v>
      </c>
      <c r="N46" s="10" t="n">
        <f aca="false">SUMIF(Open_Pipeline!$B$2:$B$151,A46,Open_Pipeline!$M$2:$M$151)</f>
        <v>0</v>
      </c>
      <c r="O46" s="7" t="n">
        <f aca="true">IF(F46=0,"",TODAY()-L46)</f>
        <v>611</v>
      </c>
      <c r="P46" s="7" t="str">
        <f aca="false">IF(F46&gt;=2,"Yes","No")</f>
        <v>No</v>
      </c>
      <c r="Q46" s="7" t="str">
        <f aca="false">IF(F46=0,"No Won Business",IF(M46&gt;0,"Active - In Pipeline",IF(O46&lt;=365,"Active",IF(O46&lt;=545,"At Risk","Churned"))))</f>
        <v>Churned</v>
      </c>
    </row>
    <row r="47" customFormat="false" ht="15" hidden="false" customHeight="false" outlineLevel="0" collapsed="false">
      <c r="A47" s="7" t="s">
        <v>669</v>
      </c>
      <c r="B47" s="7" t="s">
        <v>670</v>
      </c>
      <c r="C47" s="7" t="s">
        <v>114</v>
      </c>
      <c r="D47" s="7" t="s">
        <v>105</v>
      </c>
      <c r="E47" s="7" t="n">
        <f aca="false">COUNTIF(Closed_Deals!$B$2:$B$761,A47)</f>
        <v>2</v>
      </c>
      <c r="F47" s="7" t="n">
        <f aca="false">COUNTIFS(Closed_Deals!$B$2:$B$761,A47,Closed_Deals!$N$2:$N$761,"Won")</f>
        <v>0</v>
      </c>
      <c r="G47" s="7" t="n">
        <f aca="false">E47-F47</f>
        <v>2</v>
      </c>
      <c r="H47" s="11" t="n">
        <f aca="false">IFERROR(F47/E47,"")</f>
        <v>0</v>
      </c>
      <c r="I47" s="10" t="n">
        <f aca="false">SUMIFS(Closed_Deals!$M$2:$M$761,Closed_Deals!$B$2:$B$761,A47,Closed_Deals!$N$2:$N$761,"Won")</f>
        <v>0</v>
      </c>
      <c r="J47" s="10" t="str">
        <f aca="false">IFERROR(I47/F47,"")</f>
        <v/>
      </c>
      <c r="K47" s="8" t="str">
        <f aca="false">IF(F47=0,"",_xlfn.MINIFS(Closed_Deals!$R$2:$R$761,Closed_Deals!$B$2:$B$761,A47,Closed_Deals!$N$2:$N$761,"Won"))</f>
        <v/>
      </c>
      <c r="L47" s="8" t="str">
        <f aca="false">IF(F47=0,"",_xlfn.MAXIFS(Closed_Deals!$R$2:$R$761,Closed_Deals!$B$2:$B$761,A47,Closed_Deals!$N$2:$N$761,"Won"))</f>
        <v/>
      </c>
      <c r="M47" s="7" t="n">
        <f aca="false">COUNTIF(Open_Pipeline!$B$2:$B$151,A47)</f>
        <v>0</v>
      </c>
      <c r="N47" s="10" t="n">
        <f aca="false">SUMIF(Open_Pipeline!$B$2:$B$151,A47,Open_Pipeline!$M$2:$M$151)</f>
        <v>0</v>
      </c>
      <c r="O47" s="7" t="str">
        <f aca="true">IF(F47=0,"",TODAY()-L47)</f>
        <v/>
      </c>
      <c r="P47" s="7" t="str">
        <f aca="false">IF(F47&gt;=2,"Yes","No")</f>
        <v>No</v>
      </c>
      <c r="Q47" s="7" t="str">
        <f aca="false">IF(F47=0,"No Won Business",IF(M47&gt;0,"Active - In Pipeline",IF(O47&lt;=365,"Active",IF(O47&lt;=545,"At Risk","Churned"))))</f>
        <v>No Won Business</v>
      </c>
    </row>
    <row r="48" customFormat="false" ht="15" hidden="false" customHeight="false" outlineLevel="0" collapsed="false">
      <c r="A48" s="7" t="s">
        <v>229</v>
      </c>
      <c r="B48" s="7" t="s">
        <v>230</v>
      </c>
      <c r="C48" s="7" t="s">
        <v>93</v>
      </c>
      <c r="D48" s="7" t="s">
        <v>94</v>
      </c>
      <c r="E48" s="7" t="n">
        <f aca="false">COUNTIF(Closed_Deals!$B$2:$B$761,A48)</f>
        <v>3</v>
      </c>
      <c r="F48" s="7" t="n">
        <f aca="false">COUNTIFS(Closed_Deals!$B$2:$B$761,A48,Closed_Deals!$N$2:$N$761,"Won")</f>
        <v>2</v>
      </c>
      <c r="G48" s="7" t="n">
        <f aca="false">E48-F48</f>
        <v>1</v>
      </c>
      <c r="H48" s="11" t="n">
        <f aca="false">IFERROR(F48/E48,"")</f>
        <v>0.666666666666667</v>
      </c>
      <c r="I48" s="10" t="n">
        <f aca="false">SUMIFS(Closed_Deals!$M$2:$M$761,Closed_Deals!$B$2:$B$761,A48,Closed_Deals!$N$2:$N$761,"Won")</f>
        <v>424112.1</v>
      </c>
      <c r="J48" s="10" t="n">
        <f aca="false">IFERROR(I48/F48,"")</f>
        <v>212056.05</v>
      </c>
      <c r="K48" s="8" t="n">
        <f aca="false">IF(F48=0,"",_xlfn.MINIFS(Closed_Deals!$R$2:$R$761,Closed_Deals!$B$2:$B$761,A48,Closed_Deals!$N$2:$N$761,"Won"))</f>
        <v>46051</v>
      </c>
      <c r="L48" s="8" t="n">
        <f aca="false">IF(F48=0,"",_xlfn.MAXIFS(Closed_Deals!$R$2:$R$761,Closed_Deals!$B$2:$B$761,A48,Closed_Deals!$N$2:$N$761,"Won"))</f>
        <v>46103</v>
      </c>
      <c r="M48" s="7" t="n">
        <f aca="false">COUNTIF(Open_Pipeline!$B$2:$B$151,A48)</f>
        <v>0</v>
      </c>
      <c r="N48" s="10" t="n">
        <f aca="false">SUMIF(Open_Pipeline!$B$2:$B$151,A48,Open_Pipeline!$M$2:$M$151)</f>
        <v>0</v>
      </c>
      <c r="O48" s="7" t="n">
        <f aca="true">IF(F48=0,"",TODAY()-L48)</f>
        <v>171</v>
      </c>
      <c r="P48" s="7" t="str">
        <f aca="false">IF(F48&gt;=2,"Yes","No")</f>
        <v>Yes</v>
      </c>
      <c r="Q48" s="7" t="str">
        <f aca="false">IF(F48=0,"No Won Business",IF(M48&gt;0,"Active - In Pipeline",IF(O48&lt;=365,"Active",IF(O48&lt;=545,"At Risk","Churned"))))</f>
        <v>Active</v>
      </c>
    </row>
    <row r="49" customFormat="false" ht="15" hidden="false" customHeight="false" outlineLevel="0" collapsed="false">
      <c r="A49" s="7" t="s">
        <v>343</v>
      </c>
      <c r="B49" s="7" t="s">
        <v>344</v>
      </c>
      <c r="C49" s="7" t="s">
        <v>93</v>
      </c>
      <c r="D49" s="7" t="s">
        <v>94</v>
      </c>
      <c r="E49" s="7" t="n">
        <f aca="false">COUNTIF(Closed_Deals!$B$2:$B$761,A49)</f>
        <v>6</v>
      </c>
      <c r="F49" s="7" t="n">
        <f aca="false">COUNTIFS(Closed_Deals!$B$2:$B$761,A49,Closed_Deals!$N$2:$N$761,"Won")</f>
        <v>4</v>
      </c>
      <c r="G49" s="7" t="n">
        <f aca="false">E49-F49</f>
        <v>2</v>
      </c>
      <c r="H49" s="11" t="n">
        <f aca="false">IFERROR(F49/E49,"")</f>
        <v>0.666666666666667</v>
      </c>
      <c r="I49" s="10" t="n">
        <f aca="false">SUMIFS(Closed_Deals!$M$2:$M$761,Closed_Deals!$B$2:$B$761,A49,Closed_Deals!$N$2:$N$761,"Won")</f>
        <v>274779.51</v>
      </c>
      <c r="J49" s="10" t="n">
        <f aca="false">IFERROR(I49/F49,"")</f>
        <v>68694.8775</v>
      </c>
      <c r="K49" s="8" t="n">
        <f aca="false">IF(F49=0,"",_xlfn.MINIFS(Closed_Deals!$R$2:$R$761,Closed_Deals!$B$2:$B$761,A49,Closed_Deals!$N$2:$N$761,"Won"))</f>
        <v>45524</v>
      </c>
      <c r="L49" s="8" t="n">
        <f aca="false">IF(F49=0,"",_xlfn.MAXIFS(Closed_Deals!$R$2:$R$761,Closed_Deals!$B$2:$B$761,A49,Closed_Deals!$N$2:$N$761,"Won"))</f>
        <v>46259</v>
      </c>
      <c r="M49" s="7" t="n">
        <f aca="false">COUNTIF(Open_Pipeline!$B$2:$B$151,A49)</f>
        <v>1</v>
      </c>
      <c r="N49" s="10" t="n">
        <f aca="false">SUMIF(Open_Pipeline!$B$2:$B$151,A49,Open_Pipeline!$M$2:$M$151)</f>
        <v>81135.17</v>
      </c>
      <c r="O49" s="7" t="n">
        <f aca="true">IF(F49=0,"",TODAY()-L49)</f>
        <v>15</v>
      </c>
      <c r="P49" s="7" t="str">
        <f aca="false">IF(F49&gt;=2,"Yes","No")</f>
        <v>Yes</v>
      </c>
      <c r="Q49" s="7" t="str">
        <f aca="false">IF(F49=0,"No Won Business",IF(M49&gt;0,"Active - In Pipeline",IF(O49&lt;=365,"Active",IF(O49&lt;=545,"At Risk","Churned"))))</f>
        <v>Active - In Pipeline</v>
      </c>
    </row>
    <row r="50" customFormat="false" ht="15" hidden="false" customHeight="false" outlineLevel="0" collapsed="false">
      <c r="A50" s="7" t="s">
        <v>237</v>
      </c>
      <c r="B50" s="7" t="s">
        <v>238</v>
      </c>
      <c r="C50" s="7" t="s">
        <v>195</v>
      </c>
      <c r="D50" s="7" t="s">
        <v>94</v>
      </c>
      <c r="E50" s="7" t="n">
        <f aca="false">COUNTIF(Closed_Deals!$B$2:$B$761,A50)</f>
        <v>9</v>
      </c>
      <c r="F50" s="7" t="n">
        <f aca="false">COUNTIFS(Closed_Deals!$B$2:$B$761,A50,Closed_Deals!$N$2:$N$761,"Won")</f>
        <v>4</v>
      </c>
      <c r="G50" s="7" t="n">
        <f aca="false">E50-F50</f>
        <v>5</v>
      </c>
      <c r="H50" s="11" t="n">
        <f aca="false">IFERROR(F50/E50,"")</f>
        <v>0.444444444444444</v>
      </c>
      <c r="I50" s="10" t="n">
        <f aca="false">SUMIFS(Closed_Deals!$M$2:$M$761,Closed_Deals!$B$2:$B$761,A50,Closed_Deals!$N$2:$N$761,"Won")</f>
        <v>295793.41</v>
      </c>
      <c r="J50" s="10" t="n">
        <f aca="false">IFERROR(I50/F50,"")</f>
        <v>73948.3525</v>
      </c>
      <c r="K50" s="8" t="n">
        <f aca="false">IF(F50=0,"",_xlfn.MINIFS(Closed_Deals!$R$2:$R$761,Closed_Deals!$B$2:$B$761,A50,Closed_Deals!$N$2:$N$761,"Won"))</f>
        <v>45389</v>
      </c>
      <c r="L50" s="8" t="n">
        <f aca="false">IF(F50=0,"",_xlfn.MAXIFS(Closed_Deals!$R$2:$R$761,Closed_Deals!$B$2:$B$761,A50,Closed_Deals!$N$2:$N$761,"Won"))</f>
        <v>46019</v>
      </c>
      <c r="M50" s="7" t="n">
        <f aca="false">COUNTIF(Open_Pipeline!$B$2:$B$151,A50)</f>
        <v>2</v>
      </c>
      <c r="N50" s="10" t="n">
        <f aca="false">SUMIF(Open_Pipeline!$B$2:$B$151,A50,Open_Pipeline!$M$2:$M$151)</f>
        <v>512003.31</v>
      </c>
      <c r="O50" s="7" t="n">
        <f aca="true">IF(F50=0,"",TODAY()-L50)</f>
        <v>255</v>
      </c>
      <c r="P50" s="7" t="str">
        <f aca="false">IF(F50&gt;=2,"Yes","No")</f>
        <v>Yes</v>
      </c>
      <c r="Q50" s="7" t="str">
        <f aca="false">IF(F50=0,"No Won Business",IF(M50&gt;0,"Active - In Pipeline",IF(O50&lt;=365,"Active",IF(O50&lt;=545,"At Risk","Churned"))))</f>
        <v>Active - In Pipeline</v>
      </c>
    </row>
    <row r="51" customFormat="false" ht="15" hidden="false" customHeight="false" outlineLevel="0" collapsed="false">
      <c r="A51" s="7" t="s">
        <v>340</v>
      </c>
      <c r="B51" s="7" t="s">
        <v>341</v>
      </c>
      <c r="C51" s="7" t="s">
        <v>151</v>
      </c>
      <c r="D51" s="7" t="s">
        <v>105</v>
      </c>
      <c r="E51" s="7" t="n">
        <f aca="false">COUNTIF(Closed_Deals!$B$2:$B$761,A51)</f>
        <v>4</v>
      </c>
      <c r="F51" s="7" t="n">
        <f aca="false">COUNTIFS(Closed_Deals!$B$2:$B$761,A51,Closed_Deals!$N$2:$N$761,"Won")</f>
        <v>1</v>
      </c>
      <c r="G51" s="7" t="n">
        <f aca="false">E51-F51</f>
        <v>3</v>
      </c>
      <c r="H51" s="11" t="n">
        <f aca="false">IFERROR(F51/E51,"")</f>
        <v>0.25</v>
      </c>
      <c r="I51" s="10" t="n">
        <f aca="false">SUMIFS(Closed_Deals!$M$2:$M$761,Closed_Deals!$B$2:$B$761,A51,Closed_Deals!$N$2:$N$761,"Won")</f>
        <v>71334.16</v>
      </c>
      <c r="J51" s="10" t="n">
        <f aca="false">IFERROR(I51/F51,"")</f>
        <v>71334.16</v>
      </c>
      <c r="K51" s="8" t="n">
        <f aca="false">IF(F51=0,"",_xlfn.MINIFS(Closed_Deals!$R$2:$R$761,Closed_Deals!$B$2:$B$761,A51,Closed_Deals!$N$2:$N$761,"Won"))</f>
        <v>45606</v>
      </c>
      <c r="L51" s="8" t="n">
        <f aca="false">IF(F51=0,"",_xlfn.MAXIFS(Closed_Deals!$R$2:$R$761,Closed_Deals!$B$2:$B$761,A51,Closed_Deals!$N$2:$N$761,"Won"))</f>
        <v>45606</v>
      </c>
      <c r="M51" s="7" t="n">
        <f aca="false">COUNTIF(Open_Pipeline!$B$2:$B$151,A51)</f>
        <v>0</v>
      </c>
      <c r="N51" s="10" t="n">
        <f aca="false">SUMIF(Open_Pipeline!$B$2:$B$151,A51,Open_Pipeline!$M$2:$M$151)</f>
        <v>0</v>
      </c>
      <c r="O51" s="7" t="n">
        <f aca="true">IF(F51=0,"",TODAY()-L51)</f>
        <v>668</v>
      </c>
      <c r="P51" s="7" t="str">
        <f aca="false">IF(F51&gt;=2,"Yes","No")</f>
        <v>No</v>
      </c>
      <c r="Q51" s="7" t="str">
        <f aca="false">IF(F51=0,"No Won Business",IF(M51&gt;0,"Active - In Pipeline",IF(O51&lt;=365,"Active",IF(O51&lt;=545,"At Risk","Churned"))))</f>
        <v>Churned</v>
      </c>
    </row>
    <row r="52" customFormat="false" ht="15" hidden="false" customHeight="false" outlineLevel="0" collapsed="false">
      <c r="A52" s="7" t="s">
        <v>324</v>
      </c>
      <c r="B52" s="7" t="s">
        <v>325</v>
      </c>
      <c r="C52" s="7" t="s">
        <v>195</v>
      </c>
      <c r="D52" s="7" t="s">
        <v>94</v>
      </c>
      <c r="E52" s="7" t="n">
        <f aca="false">COUNTIF(Closed_Deals!$B$2:$B$761,A52)</f>
        <v>3</v>
      </c>
      <c r="F52" s="7" t="n">
        <f aca="false">COUNTIFS(Closed_Deals!$B$2:$B$761,A52,Closed_Deals!$N$2:$N$761,"Won")</f>
        <v>1</v>
      </c>
      <c r="G52" s="7" t="n">
        <f aca="false">E52-F52</f>
        <v>2</v>
      </c>
      <c r="H52" s="11" t="n">
        <f aca="false">IFERROR(F52/E52,"")</f>
        <v>0.333333333333333</v>
      </c>
      <c r="I52" s="10" t="n">
        <f aca="false">SUMIFS(Closed_Deals!$M$2:$M$761,Closed_Deals!$B$2:$B$761,A52,Closed_Deals!$N$2:$N$761,"Won")</f>
        <v>88217.73</v>
      </c>
      <c r="J52" s="10" t="n">
        <f aca="false">IFERROR(I52/F52,"")</f>
        <v>88217.73</v>
      </c>
      <c r="K52" s="8" t="n">
        <f aca="false">IF(F52=0,"",_xlfn.MINIFS(Closed_Deals!$R$2:$R$761,Closed_Deals!$B$2:$B$761,A52,Closed_Deals!$N$2:$N$761,"Won"))</f>
        <v>45469</v>
      </c>
      <c r="L52" s="8" t="n">
        <f aca="false">IF(F52=0,"",_xlfn.MAXIFS(Closed_Deals!$R$2:$R$761,Closed_Deals!$B$2:$B$761,A52,Closed_Deals!$N$2:$N$761,"Won"))</f>
        <v>45469</v>
      </c>
      <c r="M52" s="7" t="n">
        <f aca="false">COUNTIF(Open_Pipeline!$B$2:$B$151,A52)</f>
        <v>1</v>
      </c>
      <c r="N52" s="10" t="n">
        <f aca="false">SUMIF(Open_Pipeline!$B$2:$B$151,A52,Open_Pipeline!$M$2:$M$151)</f>
        <v>61542.94</v>
      </c>
      <c r="O52" s="7" t="n">
        <f aca="true">IF(F52=0,"",TODAY()-L52)</f>
        <v>805</v>
      </c>
      <c r="P52" s="7" t="str">
        <f aca="false">IF(F52&gt;=2,"Yes","No")</f>
        <v>No</v>
      </c>
      <c r="Q52" s="7" t="str">
        <f aca="false">IF(F52=0,"No Won Business",IF(M52&gt;0,"Active - In Pipeline",IF(O52&lt;=365,"Active",IF(O52&lt;=545,"At Risk","Churned"))))</f>
        <v>Active - In Pipeline</v>
      </c>
    </row>
    <row r="53" customFormat="false" ht="15" hidden="false" customHeight="false" outlineLevel="0" collapsed="false">
      <c r="A53" s="7" t="s">
        <v>541</v>
      </c>
      <c r="B53" s="7" t="s">
        <v>542</v>
      </c>
      <c r="C53" s="7" t="s">
        <v>195</v>
      </c>
      <c r="D53" s="7" t="s">
        <v>94</v>
      </c>
      <c r="E53" s="7" t="n">
        <f aca="false">COUNTIF(Closed_Deals!$B$2:$B$761,A53)</f>
        <v>2</v>
      </c>
      <c r="F53" s="7" t="n">
        <f aca="false">COUNTIFS(Closed_Deals!$B$2:$B$761,A53,Closed_Deals!$N$2:$N$761,"Won")</f>
        <v>0</v>
      </c>
      <c r="G53" s="7" t="n">
        <f aca="false">E53-F53</f>
        <v>2</v>
      </c>
      <c r="H53" s="11" t="n">
        <f aca="false">IFERROR(F53/E53,"")</f>
        <v>0</v>
      </c>
      <c r="I53" s="10" t="n">
        <f aca="false">SUMIFS(Closed_Deals!$M$2:$M$761,Closed_Deals!$B$2:$B$761,A53,Closed_Deals!$N$2:$N$761,"Won")</f>
        <v>0</v>
      </c>
      <c r="J53" s="10" t="str">
        <f aca="false">IFERROR(I53/F53,"")</f>
        <v/>
      </c>
      <c r="K53" s="8" t="str">
        <f aca="false">IF(F53=0,"",_xlfn.MINIFS(Closed_Deals!$R$2:$R$761,Closed_Deals!$B$2:$B$761,A53,Closed_Deals!$N$2:$N$761,"Won"))</f>
        <v/>
      </c>
      <c r="L53" s="8" t="str">
        <f aca="false">IF(F53=0,"",_xlfn.MAXIFS(Closed_Deals!$R$2:$R$761,Closed_Deals!$B$2:$B$761,A53,Closed_Deals!$N$2:$N$761,"Won"))</f>
        <v/>
      </c>
      <c r="M53" s="7" t="n">
        <f aca="false">COUNTIF(Open_Pipeline!$B$2:$B$151,A53)</f>
        <v>0</v>
      </c>
      <c r="N53" s="10" t="n">
        <f aca="false">SUMIF(Open_Pipeline!$B$2:$B$151,A53,Open_Pipeline!$M$2:$M$151)</f>
        <v>0</v>
      </c>
      <c r="O53" s="7" t="str">
        <f aca="true">IF(F53=0,"",TODAY()-L53)</f>
        <v/>
      </c>
      <c r="P53" s="7" t="str">
        <f aca="false">IF(F53&gt;=2,"Yes","No")</f>
        <v>No</v>
      </c>
      <c r="Q53" s="7" t="str">
        <f aca="false">IF(F53=0,"No Won Business",IF(M53&gt;0,"Active - In Pipeline",IF(O53&lt;=365,"Active",IF(O53&lt;=545,"At Risk","Churned"))))</f>
        <v>No Won Business</v>
      </c>
    </row>
    <row r="54" customFormat="false" ht="15" hidden="false" customHeight="false" outlineLevel="0" collapsed="false">
      <c r="A54" s="7" t="s">
        <v>334</v>
      </c>
      <c r="B54" s="7" t="s">
        <v>335</v>
      </c>
      <c r="C54" s="7" t="s">
        <v>242</v>
      </c>
      <c r="D54" s="7" t="s">
        <v>162</v>
      </c>
      <c r="E54" s="7" t="n">
        <f aca="false">COUNTIF(Closed_Deals!$B$2:$B$761,A54)</f>
        <v>14</v>
      </c>
      <c r="F54" s="7" t="n">
        <f aca="false">COUNTIFS(Closed_Deals!$B$2:$B$761,A54,Closed_Deals!$N$2:$N$761,"Won")</f>
        <v>5</v>
      </c>
      <c r="G54" s="7" t="n">
        <f aca="false">E54-F54</f>
        <v>9</v>
      </c>
      <c r="H54" s="11" t="n">
        <f aca="false">IFERROR(F54/E54,"")</f>
        <v>0.357142857142857</v>
      </c>
      <c r="I54" s="10" t="n">
        <f aca="false">SUMIFS(Closed_Deals!$M$2:$M$761,Closed_Deals!$B$2:$B$761,A54,Closed_Deals!$N$2:$N$761,"Won")</f>
        <v>451578.09</v>
      </c>
      <c r="J54" s="10" t="n">
        <f aca="false">IFERROR(I54/F54,"")</f>
        <v>90315.618</v>
      </c>
      <c r="K54" s="8" t="n">
        <f aca="false">IF(F54=0,"",_xlfn.MINIFS(Closed_Deals!$R$2:$R$761,Closed_Deals!$B$2:$B$761,A54,Closed_Deals!$N$2:$N$761,"Won"))</f>
        <v>45485</v>
      </c>
      <c r="L54" s="8" t="n">
        <f aca="false">IF(F54=0,"",_xlfn.MAXIFS(Closed_Deals!$R$2:$R$761,Closed_Deals!$B$2:$B$761,A54,Closed_Deals!$N$2:$N$761,"Won"))</f>
        <v>46186</v>
      </c>
      <c r="M54" s="7" t="n">
        <f aca="false">COUNTIF(Open_Pipeline!$B$2:$B$151,A54)</f>
        <v>3</v>
      </c>
      <c r="N54" s="10" t="n">
        <f aca="false">SUMIF(Open_Pipeline!$B$2:$B$151,A54,Open_Pipeline!$M$2:$M$151)</f>
        <v>263102.58</v>
      </c>
      <c r="O54" s="7" t="n">
        <f aca="true">IF(F54=0,"",TODAY()-L54)</f>
        <v>88</v>
      </c>
      <c r="P54" s="7" t="str">
        <f aca="false">IF(F54&gt;=2,"Yes","No")</f>
        <v>Yes</v>
      </c>
      <c r="Q54" s="7" t="str">
        <f aca="false">IF(F54=0,"No Won Business",IF(M54&gt;0,"Active - In Pipeline",IF(O54&lt;=365,"Active",IF(O54&lt;=545,"At Risk","Churned"))))</f>
        <v>Active - In Pipeline</v>
      </c>
    </row>
    <row r="55" customFormat="false" ht="15" hidden="false" customHeight="false" outlineLevel="0" collapsed="false">
      <c r="A55" s="7" t="s">
        <v>1514</v>
      </c>
      <c r="B55" s="7" t="s">
        <v>1515</v>
      </c>
      <c r="C55" s="7" t="s">
        <v>242</v>
      </c>
      <c r="D55" s="7" t="s">
        <v>115</v>
      </c>
      <c r="E55" s="7" t="n">
        <f aca="false">COUNTIF(Closed_Deals!$B$2:$B$761,A55)</f>
        <v>0</v>
      </c>
      <c r="F55" s="7" t="n">
        <f aca="false">COUNTIFS(Closed_Deals!$B$2:$B$761,A55,Closed_Deals!$N$2:$N$761,"Won")</f>
        <v>0</v>
      </c>
      <c r="G55" s="7" t="n">
        <f aca="false">E55-F55</f>
        <v>0</v>
      </c>
      <c r="H55" s="11" t="str">
        <f aca="false">IFERROR(F55/E55,"")</f>
        <v/>
      </c>
      <c r="I55" s="10" t="n">
        <f aca="false">SUMIFS(Closed_Deals!$M$2:$M$761,Closed_Deals!$B$2:$B$761,A55,Closed_Deals!$N$2:$N$761,"Won")</f>
        <v>0</v>
      </c>
      <c r="J55" s="10" t="str">
        <f aca="false">IFERROR(I55/F55,"")</f>
        <v/>
      </c>
      <c r="K55" s="8" t="str">
        <f aca="false">IF(F55=0,"",_xlfn.MINIFS(Closed_Deals!$R$2:$R$761,Closed_Deals!$B$2:$B$761,A55,Closed_Deals!$N$2:$N$761,"Won"))</f>
        <v/>
      </c>
      <c r="L55" s="8" t="str">
        <f aca="false">IF(F55=0,"",_xlfn.MAXIFS(Closed_Deals!$R$2:$R$761,Closed_Deals!$B$2:$B$761,A55,Closed_Deals!$N$2:$N$761,"Won"))</f>
        <v/>
      </c>
      <c r="M55" s="7" t="n">
        <f aca="false">COUNTIF(Open_Pipeline!$B$2:$B$151,A55)</f>
        <v>0</v>
      </c>
      <c r="N55" s="10" t="n">
        <f aca="false">SUMIF(Open_Pipeline!$B$2:$B$151,A55,Open_Pipeline!$M$2:$M$151)</f>
        <v>0</v>
      </c>
      <c r="O55" s="7" t="str">
        <f aca="true">IF(F55=0,"",TODAY()-L55)</f>
        <v/>
      </c>
      <c r="P55" s="7" t="str">
        <f aca="false">IF(F55&gt;=2,"Yes","No")</f>
        <v>No</v>
      </c>
      <c r="Q55" s="7" t="str">
        <f aca="false">IF(F55=0,"No Won Business",IF(M55&gt;0,"Active - In Pipeline",IF(O55&lt;=365,"Active",IF(O55&lt;=545,"At Risk","Churned"))))</f>
        <v>No Won Business</v>
      </c>
    </row>
    <row r="56" customFormat="false" ht="15" hidden="false" customHeight="false" outlineLevel="0" collapsed="false">
      <c r="A56" s="7" t="s">
        <v>1516</v>
      </c>
      <c r="B56" s="7" t="s">
        <v>1517</v>
      </c>
      <c r="C56" s="7" t="s">
        <v>104</v>
      </c>
      <c r="D56" s="7" t="s">
        <v>162</v>
      </c>
      <c r="E56" s="7" t="n">
        <f aca="false">COUNTIF(Closed_Deals!$B$2:$B$761,A56)</f>
        <v>0</v>
      </c>
      <c r="F56" s="7" t="n">
        <f aca="false">COUNTIFS(Closed_Deals!$B$2:$B$761,A56,Closed_Deals!$N$2:$N$761,"Won")</f>
        <v>0</v>
      </c>
      <c r="G56" s="7" t="n">
        <f aca="false">E56-F56</f>
        <v>0</v>
      </c>
      <c r="H56" s="11" t="str">
        <f aca="false">IFERROR(F56/E56,"")</f>
        <v/>
      </c>
      <c r="I56" s="10" t="n">
        <f aca="false">SUMIFS(Closed_Deals!$M$2:$M$761,Closed_Deals!$B$2:$B$761,A56,Closed_Deals!$N$2:$N$761,"Won")</f>
        <v>0</v>
      </c>
      <c r="J56" s="10" t="str">
        <f aca="false">IFERROR(I56/F56,"")</f>
        <v/>
      </c>
      <c r="K56" s="8" t="str">
        <f aca="false">IF(F56=0,"",_xlfn.MINIFS(Closed_Deals!$R$2:$R$761,Closed_Deals!$B$2:$B$761,A56,Closed_Deals!$N$2:$N$761,"Won"))</f>
        <v/>
      </c>
      <c r="L56" s="8" t="str">
        <f aca="false">IF(F56=0,"",_xlfn.MAXIFS(Closed_Deals!$R$2:$R$761,Closed_Deals!$B$2:$B$761,A56,Closed_Deals!$N$2:$N$761,"Won"))</f>
        <v/>
      </c>
      <c r="M56" s="7" t="n">
        <f aca="false">COUNTIF(Open_Pipeline!$B$2:$B$151,A56)</f>
        <v>0</v>
      </c>
      <c r="N56" s="10" t="n">
        <f aca="false">SUMIF(Open_Pipeline!$B$2:$B$151,A56,Open_Pipeline!$M$2:$M$151)</f>
        <v>0</v>
      </c>
      <c r="O56" s="7" t="str">
        <f aca="true">IF(F56=0,"",TODAY()-L56)</f>
        <v/>
      </c>
      <c r="P56" s="7" t="str">
        <f aca="false">IF(F56&gt;=2,"Yes","No")</f>
        <v>No</v>
      </c>
      <c r="Q56" s="7" t="str">
        <f aca="false">IF(F56=0,"No Won Business",IF(M56&gt;0,"Active - In Pipeline",IF(O56&lt;=365,"Active",IF(O56&lt;=545,"At Risk","Churned"))))</f>
        <v>No Won Business</v>
      </c>
    </row>
    <row r="57" customFormat="false" ht="15" hidden="false" customHeight="false" outlineLevel="0" collapsed="false">
      <c r="A57" s="7" t="s">
        <v>714</v>
      </c>
      <c r="B57" s="7" t="s">
        <v>715</v>
      </c>
      <c r="C57" s="7" t="s">
        <v>93</v>
      </c>
      <c r="D57" s="7" t="s">
        <v>105</v>
      </c>
      <c r="E57" s="7" t="n">
        <f aca="false">COUNTIF(Closed_Deals!$B$2:$B$761,A57)</f>
        <v>1</v>
      </c>
      <c r="F57" s="7" t="n">
        <f aca="false">COUNTIFS(Closed_Deals!$B$2:$B$761,A57,Closed_Deals!$N$2:$N$761,"Won")</f>
        <v>1</v>
      </c>
      <c r="G57" s="7" t="n">
        <f aca="false">E57-F57</f>
        <v>0</v>
      </c>
      <c r="H57" s="11" t="n">
        <f aca="false">IFERROR(F57/E57,"")</f>
        <v>1</v>
      </c>
      <c r="I57" s="10" t="n">
        <f aca="false">SUMIFS(Closed_Deals!$M$2:$M$761,Closed_Deals!$B$2:$B$761,A57,Closed_Deals!$N$2:$N$761,"Won")</f>
        <v>127725.28</v>
      </c>
      <c r="J57" s="10" t="n">
        <f aca="false">IFERROR(I57/F57,"")</f>
        <v>127725.28</v>
      </c>
      <c r="K57" s="8" t="n">
        <f aca="false">IF(F57=0,"",_xlfn.MINIFS(Closed_Deals!$R$2:$R$761,Closed_Deals!$B$2:$B$761,A57,Closed_Deals!$N$2:$N$761,"Won"))</f>
        <v>45946</v>
      </c>
      <c r="L57" s="8" t="n">
        <f aca="false">IF(F57=0,"",_xlfn.MAXIFS(Closed_Deals!$R$2:$R$761,Closed_Deals!$B$2:$B$761,A57,Closed_Deals!$N$2:$N$761,"Won"))</f>
        <v>45946</v>
      </c>
      <c r="M57" s="7" t="n">
        <f aca="false">COUNTIF(Open_Pipeline!$B$2:$B$151,A57)</f>
        <v>0</v>
      </c>
      <c r="N57" s="10" t="n">
        <f aca="false">SUMIF(Open_Pipeline!$B$2:$B$151,A57,Open_Pipeline!$M$2:$M$151)</f>
        <v>0</v>
      </c>
      <c r="O57" s="7" t="n">
        <f aca="true">IF(F57=0,"",TODAY()-L57)</f>
        <v>328</v>
      </c>
      <c r="P57" s="7" t="str">
        <f aca="false">IF(F57&gt;=2,"Yes","No")</f>
        <v>No</v>
      </c>
      <c r="Q57" s="7" t="str">
        <f aca="false">IF(F57=0,"No Won Business",IF(M57&gt;0,"Active - In Pipeline",IF(O57&lt;=365,"Active",IF(O57&lt;=545,"At Risk","Churned"))))</f>
        <v>Active</v>
      </c>
    </row>
    <row r="58" customFormat="false" ht="15" hidden="false" customHeight="false" outlineLevel="0" collapsed="false">
      <c r="A58" s="7" t="s">
        <v>882</v>
      </c>
      <c r="B58" s="7" t="s">
        <v>883</v>
      </c>
      <c r="C58" s="7" t="s">
        <v>151</v>
      </c>
      <c r="D58" s="7" t="s">
        <v>105</v>
      </c>
      <c r="E58" s="7" t="n">
        <f aca="false">COUNTIF(Closed_Deals!$B$2:$B$761,A58)</f>
        <v>3</v>
      </c>
      <c r="F58" s="7" t="n">
        <f aca="false">COUNTIFS(Closed_Deals!$B$2:$B$761,A58,Closed_Deals!$N$2:$N$761,"Won")</f>
        <v>0</v>
      </c>
      <c r="G58" s="7" t="n">
        <f aca="false">E58-F58</f>
        <v>3</v>
      </c>
      <c r="H58" s="11" t="n">
        <f aca="false">IFERROR(F58/E58,"")</f>
        <v>0</v>
      </c>
      <c r="I58" s="10" t="n">
        <f aca="false">SUMIFS(Closed_Deals!$M$2:$M$761,Closed_Deals!$B$2:$B$761,A58,Closed_Deals!$N$2:$N$761,"Won")</f>
        <v>0</v>
      </c>
      <c r="J58" s="10" t="str">
        <f aca="false">IFERROR(I58/F58,"")</f>
        <v/>
      </c>
      <c r="K58" s="8" t="str">
        <f aca="false">IF(F58=0,"",_xlfn.MINIFS(Closed_Deals!$R$2:$R$761,Closed_Deals!$B$2:$B$761,A58,Closed_Deals!$N$2:$N$761,"Won"))</f>
        <v/>
      </c>
      <c r="L58" s="8" t="str">
        <f aca="false">IF(F58=0,"",_xlfn.MAXIFS(Closed_Deals!$R$2:$R$761,Closed_Deals!$B$2:$B$761,A58,Closed_Deals!$N$2:$N$761,"Won"))</f>
        <v/>
      </c>
      <c r="M58" s="7" t="n">
        <f aca="false">COUNTIF(Open_Pipeline!$B$2:$B$151,A58)</f>
        <v>0</v>
      </c>
      <c r="N58" s="10" t="n">
        <f aca="false">SUMIF(Open_Pipeline!$B$2:$B$151,A58,Open_Pipeline!$M$2:$M$151)</f>
        <v>0</v>
      </c>
      <c r="O58" s="7" t="str">
        <f aca="true">IF(F58=0,"",TODAY()-L58)</f>
        <v/>
      </c>
      <c r="P58" s="7" t="str">
        <f aca="false">IF(F58&gt;=2,"Yes","No")</f>
        <v>No</v>
      </c>
      <c r="Q58" s="7" t="str">
        <f aca="false">IF(F58=0,"No Won Business",IF(M58&gt;0,"Active - In Pipeline",IF(O58&lt;=365,"Active",IF(O58&lt;=545,"At Risk","Churned"))))</f>
        <v>No Won Business</v>
      </c>
    </row>
    <row r="59" customFormat="false" ht="15" hidden="false" customHeight="false" outlineLevel="0" collapsed="false">
      <c r="A59" s="7" t="s">
        <v>1518</v>
      </c>
      <c r="B59" s="7" t="s">
        <v>1519</v>
      </c>
      <c r="C59" s="7" t="s">
        <v>135</v>
      </c>
      <c r="D59" s="7" t="s">
        <v>162</v>
      </c>
      <c r="E59" s="7" t="n">
        <f aca="false">COUNTIF(Closed_Deals!$B$2:$B$761,A59)</f>
        <v>0</v>
      </c>
      <c r="F59" s="7" t="n">
        <f aca="false">COUNTIFS(Closed_Deals!$B$2:$B$761,A59,Closed_Deals!$N$2:$N$761,"Won")</f>
        <v>0</v>
      </c>
      <c r="G59" s="7" t="n">
        <f aca="false">E59-F59</f>
        <v>0</v>
      </c>
      <c r="H59" s="11" t="str">
        <f aca="false">IFERROR(F59/E59,"")</f>
        <v/>
      </c>
      <c r="I59" s="10" t="n">
        <f aca="false">SUMIFS(Closed_Deals!$M$2:$M$761,Closed_Deals!$B$2:$B$761,A59,Closed_Deals!$N$2:$N$761,"Won")</f>
        <v>0</v>
      </c>
      <c r="J59" s="10" t="str">
        <f aca="false">IFERROR(I59/F59,"")</f>
        <v/>
      </c>
      <c r="K59" s="8" t="str">
        <f aca="false">IF(F59=0,"",_xlfn.MINIFS(Closed_Deals!$R$2:$R$761,Closed_Deals!$B$2:$B$761,A59,Closed_Deals!$N$2:$N$761,"Won"))</f>
        <v/>
      </c>
      <c r="L59" s="8" t="str">
        <f aca="false">IF(F59=0,"",_xlfn.MAXIFS(Closed_Deals!$R$2:$R$761,Closed_Deals!$B$2:$B$761,A59,Closed_Deals!$N$2:$N$761,"Won"))</f>
        <v/>
      </c>
      <c r="M59" s="7" t="n">
        <f aca="false">COUNTIF(Open_Pipeline!$B$2:$B$151,A59)</f>
        <v>0</v>
      </c>
      <c r="N59" s="10" t="n">
        <f aca="false">SUMIF(Open_Pipeline!$B$2:$B$151,A59,Open_Pipeline!$M$2:$M$151)</f>
        <v>0</v>
      </c>
      <c r="O59" s="7" t="str">
        <f aca="true">IF(F59=0,"",TODAY()-L59)</f>
        <v/>
      </c>
      <c r="P59" s="7" t="str">
        <f aca="false">IF(F59&gt;=2,"Yes","No")</f>
        <v>No</v>
      </c>
      <c r="Q59" s="7" t="str">
        <f aca="false">IF(F59=0,"No Won Business",IF(M59&gt;0,"Active - In Pipeline",IF(O59&lt;=365,"Active",IF(O59&lt;=545,"At Risk","Churned"))))</f>
        <v>No Won Business</v>
      </c>
    </row>
    <row r="60" customFormat="false" ht="15" hidden="false" customHeight="false" outlineLevel="0" collapsed="false">
      <c r="A60" s="7" t="s">
        <v>395</v>
      </c>
      <c r="B60" s="7" t="s">
        <v>396</v>
      </c>
      <c r="C60" s="7" t="s">
        <v>195</v>
      </c>
      <c r="D60" s="7" t="s">
        <v>162</v>
      </c>
      <c r="E60" s="7" t="n">
        <f aca="false">COUNTIF(Closed_Deals!$B$2:$B$761,A60)</f>
        <v>9</v>
      </c>
      <c r="F60" s="7" t="n">
        <f aca="false">COUNTIFS(Closed_Deals!$B$2:$B$761,A60,Closed_Deals!$N$2:$N$761,"Won")</f>
        <v>4</v>
      </c>
      <c r="G60" s="7" t="n">
        <f aca="false">E60-F60</f>
        <v>5</v>
      </c>
      <c r="H60" s="11" t="n">
        <f aca="false">IFERROR(F60/E60,"")</f>
        <v>0.444444444444444</v>
      </c>
      <c r="I60" s="10" t="n">
        <f aca="false">SUMIFS(Closed_Deals!$M$2:$M$761,Closed_Deals!$B$2:$B$761,A60,Closed_Deals!$N$2:$N$761,"Won")</f>
        <v>449496.72</v>
      </c>
      <c r="J60" s="10" t="n">
        <f aca="false">IFERROR(I60/F60,"")</f>
        <v>112374.18</v>
      </c>
      <c r="K60" s="8" t="n">
        <f aca="false">IF(F60=0,"",_xlfn.MINIFS(Closed_Deals!$R$2:$R$761,Closed_Deals!$B$2:$B$761,A60,Closed_Deals!$N$2:$N$761,"Won"))</f>
        <v>45773</v>
      </c>
      <c r="L60" s="8" t="n">
        <f aca="false">IF(F60=0,"",_xlfn.MAXIFS(Closed_Deals!$R$2:$R$761,Closed_Deals!$B$2:$B$761,A60,Closed_Deals!$N$2:$N$761,"Won"))</f>
        <v>46314</v>
      </c>
      <c r="M60" s="7" t="n">
        <f aca="false">COUNTIF(Open_Pipeline!$B$2:$B$151,A60)</f>
        <v>1</v>
      </c>
      <c r="N60" s="10" t="n">
        <f aca="false">SUMIF(Open_Pipeline!$B$2:$B$151,A60,Open_Pipeline!$M$2:$M$151)</f>
        <v>39006.21</v>
      </c>
      <c r="O60" s="7" t="n">
        <f aca="true">IF(F60=0,"",TODAY()-L60)</f>
        <v>-40</v>
      </c>
      <c r="P60" s="7" t="str">
        <f aca="false">IF(F60&gt;=2,"Yes","No")</f>
        <v>Yes</v>
      </c>
      <c r="Q60" s="7" t="str">
        <f aca="false">IF(F60=0,"No Won Business",IF(M60&gt;0,"Active - In Pipeline",IF(O60&lt;=365,"Active",IF(O60&lt;=545,"At Risk","Churned"))))</f>
        <v>Active - In Pipeline</v>
      </c>
    </row>
    <row r="61" customFormat="false" ht="15" hidden="false" customHeight="false" outlineLevel="0" collapsed="false">
      <c r="A61" s="7" t="s">
        <v>155</v>
      </c>
      <c r="B61" s="7" t="s">
        <v>156</v>
      </c>
      <c r="C61" s="7" t="s">
        <v>104</v>
      </c>
      <c r="D61" s="7" t="s">
        <v>105</v>
      </c>
      <c r="E61" s="7" t="n">
        <f aca="false">COUNTIF(Closed_Deals!$B$2:$B$761,A61)</f>
        <v>2</v>
      </c>
      <c r="F61" s="7" t="n">
        <f aca="false">COUNTIFS(Closed_Deals!$B$2:$B$761,A61,Closed_Deals!$N$2:$N$761,"Won")</f>
        <v>0</v>
      </c>
      <c r="G61" s="7" t="n">
        <f aca="false">E61-F61</f>
        <v>2</v>
      </c>
      <c r="H61" s="11" t="n">
        <f aca="false">IFERROR(F61/E61,"")</f>
        <v>0</v>
      </c>
      <c r="I61" s="10" t="n">
        <f aca="false">SUMIFS(Closed_Deals!$M$2:$M$761,Closed_Deals!$B$2:$B$761,A61,Closed_Deals!$N$2:$N$761,"Won")</f>
        <v>0</v>
      </c>
      <c r="J61" s="10" t="str">
        <f aca="false">IFERROR(I61/F61,"")</f>
        <v/>
      </c>
      <c r="K61" s="8" t="str">
        <f aca="false">IF(F61=0,"",_xlfn.MINIFS(Closed_Deals!$R$2:$R$761,Closed_Deals!$B$2:$B$761,A61,Closed_Deals!$N$2:$N$761,"Won"))</f>
        <v/>
      </c>
      <c r="L61" s="8" t="str">
        <f aca="false">IF(F61=0,"",_xlfn.MAXIFS(Closed_Deals!$R$2:$R$761,Closed_Deals!$B$2:$B$761,A61,Closed_Deals!$N$2:$N$761,"Won"))</f>
        <v/>
      </c>
      <c r="M61" s="7" t="n">
        <f aca="false">COUNTIF(Open_Pipeline!$B$2:$B$151,A61)</f>
        <v>0</v>
      </c>
      <c r="N61" s="10" t="n">
        <f aca="false">SUMIF(Open_Pipeline!$B$2:$B$151,A61,Open_Pipeline!$M$2:$M$151)</f>
        <v>0</v>
      </c>
      <c r="O61" s="7" t="str">
        <f aca="true">IF(F61=0,"",TODAY()-L61)</f>
        <v/>
      </c>
      <c r="P61" s="7" t="str">
        <f aca="false">IF(F61&gt;=2,"Yes","No")</f>
        <v>No</v>
      </c>
      <c r="Q61" s="7" t="str">
        <f aca="false">IF(F61=0,"No Won Business",IF(M61&gt;0,"Active - In Pipeline",IF(O61&lt;=365,"Active",IF(O61&lt;=545,"At Risk","Churned"))))</f>
        <v>No Won Business</v>
      </c>
    </row>
    <row r="62" customFormat="false" ht="15" hidden="false" customHeight="false" outlineLevel="0" collapsed="false">
      <c r="A62" s="7" t="s">
        <v>412</v>
      </c>
      <c r="B62" s="7" t="s">
        <v>413</v>
      </c>
      <c r="C62" s="7" t="s">
        <v>151</v>
      </c>
      <c r="D62" s="7" t="s">
        <v>115</v>
      </c>
      <c r="E62" s="7" t="n">
        <f aca="false">COUNTIF(Closed_Deals!$B$2:$B$761,A62)</f>
        <v>4</v>
      </c>
      <c r="F62" s="7" t="n">
        <f aca="false">COUNTIFS(Closed_Deals!$B$2:$B$761,A62,Closed_Deals!$N$2:$N$761,"Won")</f>
        <v>1</v>
      </c>
      <c r="G62" s="7" t="n">
        <f aca="false">E62-F62</f>
        <v>3</v>
      </c>
      <c r="H62" s="11" t="n">
        <f aca="false">IFERROR(F62/E62,"")</f>
        <v>0.25</v>
      </c>
      <c r="I62" s="10" t="n">
        <f aca="false">SUMIFS(Closed_Deals!$M$2:$M$761,Closed_Deals!$B$2:$B$761,A62,Closed_Deals!$N$2:$N$761,"Won")</f>
        <v>43604.31</v>
      </c>
      <c r="J62" s="10" t="n">
        <f aca="false">IFERROR(I62/F62,"")</f>
        <v>43604.31</v>
      </c>
      <c r="K62" s="8" t="n">
        <f aca="false">IF(F62=0,"",_xlfn.MINIFS(Closed_Deals!$R$2:$R$761,Closed_Deals!$B$2:$B$761,A62,Closed_Deals!$N$2:$N$761,"Won"))</f>
        <v>46073</v>
      </c>
      <c r="L62" s="8" t="n">
        <f aca="false">IF(F62=0,"",_xlfn.MAXIFS(Closed_Deals!$R$2:$R$761,Closed_Deals!$B$2:$B$761,A62,Closed_Deals!$N$2:$N$761,"Won"))</f>
        <v>46073</v>
      </c>
      <c r="M62" s="7" t="n">
        <f aca="false">COUNTIF(Open_Pipeline!$B$2:$B$151,A62)</f>
        <v>0</v>
      </c>
      <c r="N62" s="10" t="n">
        <f aca="false">SUMIF(Open_Pipeline!$B$2:$B$151,A62,Open_Pipeline!$M$2:$M$151)</f>
        <v>0</v>
      </c>
      <c r="O62" s="7" t="n">
        <f aca="true">IF(F62=0,"",TODAY()-L62)</f>
        <v>201</v>
      </c>
      <c r="P62" s="7" t="str">
        <f aca="false">IF(F62&gt;=2,"Yes","No")</f>
        <v>No</v>
      </c>
      <c r="Q62" s="7" t="str">
        <f aca="false">IF(F62=0,"No Won Business",IF(M62&gt;0,"Active - In Pipeline",IF(O62&lt;=365,"Active",IF(O62&lt;=545,"At Risk","Churned"))))</f>
        <v>Active</v>
      </c>
    </row>
    <row r="63" customFormat="false" ht="15" hidden="false" customHeight="false" outlineLevel="0" collapsed="false">
      <c r="A63" s="7" t="s">
        <v>1301</v>
      </c>
      <c r="B63" s="7" t="s">
        <v>1302</v>
      </c>
      <c r="C63" s="7" t="s">
        <v>242</v>
      </c>
      <c r="D63" s="7" t="s">
        <v>94</v>
      </c>
      <c r="E63" s="7" t="n">
        <f aca="false">COUNTIF(Closed_Deals!$B$2:$B$761,A63)</f>
        <v>1</v>
      </c>
      <c r="F63" s="7" t="n">
        <f aca="false">COUNTIFS(Closed_Deals!$B$2:$B$761,A63,Closed_Deals!$N$2:$N$761,"Won")</f>
        <v>1</v>
      </c>
      <c r="G63" s="7" t="n">
        <f aca="false">E63-F63</f>
        <v>0</v>
      </c>
      <c r="H63" s="11" t="n">
        <f aca="false">IFERROR(F63/E63,"")</f>
        <v>1</v>
      </c>
      <c r="I63" s="10" t="n">
        <f aca="false">SUMIFS(Closed_Deals!$M$2:$M$761,Closed_Deals!$B$2:$B$761,A63,Closed_Deals!$N$2:$N$761,"Won")</f>
        <v>343372.44</v>
      </c>
      <c r="J63" s="10" t="n">
        <f aca="false">IFERROR(I63/F63,"")</f>
        <v>343372.44</v>
      </c>
      <c r="K63" s="8" t="n">
        <f aca="false">IF(F63=0,"",_xlfn.MINIFS(Closed_Deals!$R$2:$R$761,Closed_Deals!$B$2:$B$761,A63,Closed_Deals!$N$2:$N$761,"Won"))</f>
        <v>46530</v>
      </c>
      <c r="L63" s="8" t="n">
        <f aca="false">IF(F63=0,"",_xlfn.MAXIFS(Closed_Deals!$R$2:$R$761,Closed_Deals!$B$2:$B$761,A63,Closed_Deals!$N$2:$N$761,"Won"))</f>
        <v>46530</v>
      </c>
      <c r="M63" s="7" t="n">
        <f aca="false">COUNTIF(Open_Pipeline!$B$2:$B$151,A63)</f>
        <v>0</v>
      </c>
      <c r="N63" s="10" t="n">
        <f aca="false">SUMIF(Open_Pipeline!$B$2:$B$151,A63,Open_Pipeline!$M$2:$M$151)</f>
        <v>0</v>
      </c>
      <c r="O63" s="7" t="n">
        <f aca="true">IF(F63=0,"",TODAY()-L63)</f>
        <v>-256</v>
      </c>
      <c r="P63" s="7" t="str">
        <f aca="false">IF(F63&gt;=2,"Yes","No")</f>
        <v>No</v>
      </c>
      <c r="Q63" s="7" t="str">
        <f aca="false">IF(F63=0,"No Won Business",IF(M63&gt;0,"Active - In Pipeline",IF(O63&lt;=365,"Active",IF(O63&lt;=545,"At Risk","Churned"))))</f>
        <v>Active</v>
      </c>
    </row>
    <row r="64" customFormat="false" ht="15" hidden="false" customHeight="false" outlineLevel="0" collapsed="false">
      <c r="A64" s="7" t="s">
        <v>1059</v>
      </c>
      <c r="B64" s="7" t="s">
        <v>1060</v>
      </c>
      <c r="C64" s="7" t="s">
        <v>104</v>
      </c>
      <c r="D64" s="7" t="s">
        <v>105</v>
      </c>
      <c r="E64" s="7" t="n">
        <f aca="false">COUNTIF(Closed_Deals!$B$2:$B$761,A64)</f>
        <v>1</v>
      </c>
      <c r="F64" s="7" t="n">
        <f aca="false">COUNTIFS(Closed_Deals!$B$2:$B$761,A64,Closed_Deals!$N$2:$N$761,"Won")</f>
        <v>1</v>
      </c>
      <c r="G64" s="7" t="n">
        <f aca="false">E64-F64</f>
        <v>0</v>
      </c>
      <c r="H64" s="11" t="n">
        <f aca="false">IFERROR(F64/E64,"")</f>
        <v>1</v>
      </c>
      <c r="I64" s="10" t="n">
        <f aca="false">SUMIFS(Closed_Deals!$M$2:$M$761,Closed_Deals!$B$2:$B$761,A64,Closed_Deals!$N$2:$N$761,"Won")</f>
        <v>162551.64</v>
      </c>
      <c r="J64" s="10" t="n">
        <f aca="false">IFERROR(I64/F64,"")</f>
        <v>162551.64</v>
      </c>
      <c r="K64" s="8" t="n">
        <f aca="false">IF(F64=0,"",_xlfn.MINIFS(Closed_Deals!$R$2:$R$761,Closed_Deals!$B$2:$B$761,A64,Closed_Deals!$N$2:$N$761,"Won"))</f>
        <v>46250</v>
      </c>
      <c r="L64" s="8" t="n">
        <f aca="false">IF(F64=0,"",_xlfn.MAXIFS(Closed_Deals!$R$2:$R$761,Closed_Deals!$B$2:$B$761,A64,Closed_Deals!$N$2:$N$761,"Won"))</f>
        <v>46250</v>
      </c>
      <c r="M64" s="7" t="n">
        <f aca="false">COUNTIF(Open_Pipeline!$B$2:$B$151,A64)</f>
        <v>0</v>
      </c>
      <c r="N64" s="10" t="n">
        <f aca="false">SUMIF(Open_Pipeline!$B$2:$B$151,A64,Open_Pipeline!$M$2:$M$151)</f>
        <v>0</v>
      </c>
      <c r="O64" s="7" t="n">
        <f aca="true">IF(F64=0,"",TODAY()-L64)</f>
        <v>24</v>
      </c>
      <c r="P64" s="7" t="str">
        <f aca="false">IF(F64&gt;=2,"Yes","No")</f>
        <v>No</v>
      </c>
      <c r="Q64" s="7" t="str">
        <f aca="false">IF(F64=0,"No Won Business",IF(M64&gt;0,"Active - In Pipeline",IF(O64&lt;=365,"Active",IF(O64&lt;=545,"At Risk","Churned"))))</f>
        <v>Active</v>
      </c>
    </row>
    <row r="65" customFormat="false" ht="15" hidden="false" customHeight="false" outlineLevel="0" collapsed="false">
      <c r="A65" s="7" t="s">
        <v>1520</v>
      </c>
      <c r="B65" s="7" t="s">
        <v>1521</v>
      </c>
      <c r="C65" s="7" t="s">
        <v>135</v>
      </c>
      <c r="D65" s="7" t="s">
        <v>105</v>
      </c>
      <c r="E65" s="7" t="n">
        <f aca="false">COUNTIF(Closed_Deals!$B$2:$B$761,A65)</f>
        <v>0</v>
      </c>
      <c r="F65" s="7" t="n">
        <f aca="false">COUNTIFS(Closed_Deals!$B$2:$B$761,A65,Closed_Deals!$N$2:$N$761,"Won")</f>
        <v>0</v>
      </c>
      <c r="G65" s="7" t="n">
        <f aca="false">E65-F65</f>
        <v>0</v>
      </c>
      <c r="H65" s="11" t="str">
        <f aca="false">IFERROR(F65/E65,"")</f>
        <v/>
      </c>
      <c r="I65" s="10" t="n">
        <f aca="false">SUMIFS(Closed_Deals!$M$2:$M$761,Closed_Deals!$B$2:$B$761,A65,Closed_Deals!$N$2:$N$761,"Won")</f>
        <v>0</v>
      </c>
      <c r="J65" s="10" t="str">
        <f aca="false">IFERROR(I65/F65,"")</f>
        <v/>
      </c>
      <c r="K65" s="8" t="str">
        <f aca="false">IF(F65=0,"",_xlfn.MINIFS(Closed_Deals!$R$2:$R$761,Closed_Deals!$B$2:$B$761,A65,Closed_Deals!$N$2:$N$761,"Won"))</f>
        <v/>
      </c>
      <c r="L65" s="8" t="str">
        <f aca="false">IF(F65=0,"",_xlfn.MAXIFS(Closed_Deals!$R$2:$R$761,Closed_Deals!$B$2:$B$761,A65,Closed_Deals!$N$2:$N$761,"Won"))</f>
        <v/>
      </c>
      <c r="M65" s="7" t="n">
        <f aca="false">COUNTIF(Open_Pipeline!$B$2:$B$151,A65)</f>
        <v>0</v>
      </c>
      <c r="N65" s="10" t="n">
        <f aca="false">SUMIF(Open_Pipeline!$B$2:$B$151,A65,Open_Pipeline!$M$2:$M$151)</f>
        <v>0</v>
      </c>
      <c r="O65" s="7" t="str">
        <f aca="true">IF(F65=0,"",TODAY()-L65)</f>
        <v/>
      </c>
      <c r="P65" s="7" t="str">
        <f aca="false">IF(F65&gt;=2,"Yes","No")</f>
        <v>No</v>
      </c>
      <c r="Q65" s="7" t="str">
        <f aca="false">IF(F65=0,"No Won Business",IF(M65&gt;0,"Active - In Pipeline",IF(O65&lt;=365,"Active",IF(O65&lt;=545,"At Risk","Churned"))))</f>
        <v>No Won Business</v>
      </c>
    </row>
    <row r="66" customFormat="false" ht="15" hidden="false" customHeight="false" outlineLevel="0" collapsed="false">
      <c r="A66" s="7" t="s">
        <v>1179</v>
      </c>
      <c r="B66" s="7" t="s">
        <v>1180</v>
      </c>
      <c r="C66" s="7" t="s">
        <v>195</v>
      </c>
      <c r="D66" s="7" t="s">
        <v>94</v>
      </c>
      <c r="E66" s="7" t="n">
        <f aca="false">COUNTIF(Closed_Deals!$B$2:$B$761,A66)</f>
        <v>1</v>
      </c>
      <c r="F66" s="7" t="n">
        <f aca="false">COUNTIFS(Closed_Deals!$B$2:$B$761,A66,Closed_Deals!$N$2:$N$761,"Won")</f>
        <v>0</v>
      </c>
      <c r="G66" s="7" t="n">
        <f aca="false">E66-F66</f>
        <v>1</v>
      </c>
      <c r="H66" s="11" t="n">
        <f aca="false">IFERROR(F66/E66,"")</f>
        <v>0</v>
      </c>
      <c r="I66" s="10" t="n">
        <f aca="false">SUMIFS(Closed_Deals!$M$2:$M$761,Closed_Deals!$B$2:$B$761,A66,Closed_Deals!$N$2:$N$761,"Won")</f>
        <v>0</v>
      </c>
      <c r="J66" s="10" t="str">
        <f aca="false">IFERROR(I66/F66,"")</f>
        <v/>
      </c>
      <c r="K66" s="8" t="str">
        <f aca="false">IF(F66=0,"",_xlfn.MINIFS(Closed_Deals!$R$2:$R$761,Closed_Deals!$B$2:$B$761,A66,Closed_Deals!$N$2:$N$761,"Won"))</f>
        <v/>
      </c>
      <c r="L66" s="8" t="str">
        <f aca="false">IF(F66=0,"",_xlfn.MAXIFS(Closed_Deals!$R$2:$R$761,Closed_Deals!$B$2:$B$761,A66,Closed_Deals!$N$2:$N$761,"Won"))</f>
        <v/>
      </c>
      <c r="M66" s="7" t="n">
        <f aca="false">COUNTIF(Open_Pipeline!$B$2:$B$151,A66)</f>
        <v>0</v>
      </c>
      <c r="N66" s="10" t="n">
        <f aca="false">SUMIF(Open_Pipeline!$B$2:$B$151,A66,Open_Pipeline!$M$2:$M$151)</f>
        <v>0</v>
      </c>
      <c r="O66" s="7" t="str">
        <f aca="true">IF(F66=0,"",TODAY()-L66)</f>
        <v/>
      </c>
      <c r="P66" s="7" t="str">
        <f aca="false">IF(F66&gt;=2,"Yes","No")</f>
        <v>No</v>
      </c>
      <c r="Q66" s="7" t="str">
        <f aca="false">IF(F66=0,"No Won Business",IF(M66&gt;0,"Active - In Pipeline",IF(O66&lt;=365,"Active",IF(O66&lt;=545,"At Risk","Churned"))))</f>
        <v>No Won Business</v>
      </c>
    </row>
    <row r="67" customFormat="false" ht="15" hidden="false" customHeight="false" outlineLevel="0" collapsed="false">
      <c r="A67" s="7" t="s">
        <v>532</v>
      </c>
      <c r="B67" s="7" t="s">
        <v>533</v>
      </c>
      <c r="C67" s="7" t="s">
        <v>201</v>
      </c>
      <c r="D67" s="7" t="s">
        <v>94</v>
      </c>
      <c r="E67" s="7" t="n">
        <f aca="false">COUNTIF(Closed_Deals!$B$2:$B$761,A67)</f>
        <v>2</v>
      </c>
      <c r="F67" s="7" t="n">
        <f aca="false">COUNTIFS(Closed_Deals!$B$2:$B$761,A67,Closed_Deals!$N$2:$N$761,"Won")</f>
        <v>1</v>
      </c>
      <c r="G67" s="7" t="n">
        <f aca="false">E67-F67</f>
        <v>1</v>
      </c>
      <c r="H67" s="11" t="n">
        <f aca="false">IFERROR(F67/E67,"")</f>
        <v>0.5</v>
      </c>
      <c r="I67" s="10" t="n">
        <f aca="false">SUMIFS(Closed_Deals!$M$2:$M$761,Closed_Deals!$B$2:$B$761,A67,Closed_Deals!$N$2:$N$761,"Won")</f>
        <v>197340.8</v>
      </c>
      <c r="J67" s="10" t="n">
        <f aca="false">IFERROR(I67/F67,"")</f>
        <v>197340.8</v>
      </c>
      <c r="K67" s="8" t="n">
        <f aca="false">IF(F67=0,"",_xlfn.MINIFS(Closed_Deals!$R$2:$R$761,Closed_Deals!$B$2:$B$761,A67,Closed_Deals!$N$2:$N$761,"Won"))</f>
        <v>45947</v>
      </c>
      <c r="L67" s="8" t="n">
        <f aca="false">IF(F67=0,"",_xlfn.MAXIFS(Closed_Deals!$R$2:$R$761,Closed_Deals!$B$2:$B$761,A67,Closed_Deals!$N$2:$N$761,"Won"))</f>
        <v>45947</v>
      </c>
      <c r="M67" s="7" t="n">
        <f aca="false">COUNTIF(Open_Pipeline!$B$2:$B$151,A67)</f>
        <v>0</v>
      </c>
      <c r="N67" s="10" t="n">
        <f aca="false">SUMIF(Open_Pipeline!$B$2:$B$151,A67,Open_Pipeline!$M$2:$M$151)</f>
        <v>0</v>
      </c>
      <c r="O67" s="7" t="n">
        <f aca="true">IF(F67=0,"",TODAY()-L67)</f>
        <v>327</v>
      </c>
      <c r="P67" s="7" t="str">
        <f aca="false">IF(F67&gt;=2,"Yes","No")</f>
        <v>No</v>
      </c>
      <c r="Q67" s="7" t="str">
        <f aca="false">IF(F67=0,"No Won Business",IF(M67&gt;0,"Active - In Pipeline",IF(O67&lt;=365,"Active",IF(O67&lt;=545,"At Risk","Churned"))))</f>
        <v>Active</v>
      </c>
    </row>
    <row r="68" customFormat="false" ht="15" hidden="false" customHeight="false" outlineLevel="0" collapsed="false">
      <c r="A68" s="7" t="s">
        <v>1522</v>
      </c>
      <c r="B68" s="7" t="s">
        <v>1523</v>
      </c>
      <c r="C68" s="7" t="s">
        <v>135</v>
      </c>
      <c r="D68" s="7" t="s">
        <v>105</v>
      </c>
      <c r="E68" s="7" t="n">
        <f aca="false">COUNTIF(Closed_Deals!$B$2:$B$761,A68)</f>
        <v>0</v>
      </c>
      <c r="F68" s="7" t="n">
        <f aca="false">COUNTIFS(Closed_Deals!$B$2:$B$761,A68,Closed_Deals!$N$2:$N$761,"Won")</f>
        <v>0</v>
      </c>
      <c r="G68" s="7" t="n">
        <f aca="false">E68-F68</f>
        <v>0</v>
      </c>
      <c r="H68" s="11" t="str">
        <f aca="false">IFERROR(F68/E68,"")</f>
        <v/>
      </c>
      <c r="I68" s="10" t="n">
        <f aca="false">SUMIFS(Closed_Deals!$M$2:$M$761,Closed_Deals!$B$2:$B$761,A68,Closed_Deals!$N$2:$N$761,"Won")</f>
        <v>0</v>
      </c>
      <c r="J68" s="10" t="str">
        <f aca="false">IFERROR(I68/F68,"")</f>
        <v/>
      </c>
      <c r="K68" s="8" t="str">
        <f aca="false">IF(F68=0,"",_xlfn.MINIFS(Closed_Deals!$R$2:$R$761,Closed_Deals!$B$2:$B$761,A68,Closed_Deals!$N$2:$N$761,"Won"))</f>
        <v/>
      </c>
      <c r="L68" s="8" t="str">
        <f aca="false">IF(F68=0,"",_xlfn.MAXIFS(Closed_Deals!$R$2:$R$761,Closed_Deals!$B$2:$B$761,A68,Closed_Deals!$N$2:$N$761,"Won"))</f>
        <v/>
      </c>
      <c r="M68" s="7" t="n">
        <f aca="false">COUNTIF(Open_Pipeline!$B$2:$B$151,A68)</f>
        <v>0</v>
      </c>
      <c r="N68" s="10" t="n">
        <f aca="false">SUMIF(Open_Pipeline!$B$2:$B$151,A68,Open_Pipeline!$M$2:$M$151)</f>
        <v>0</v>
      </c>
      <c r="O68" s="7" t="str">
        <f aca="true">IF(F68=0,"",TODAY()-L68)</f>
        <v/>
      </c>
      <c r="P68" s="7" t="str">
        <f aca="false">IF(F68&gt;=2,"Yes","No")</f>
        <v>No</v>
      </c>
      <c r="Q68" s="7" t="str">
        <f aca="false">IF(F68=0,"No Won Business",IF(M68&gt;0,"Active - In Pipeline",IF(O68&lt;=365,"Active",IF(O68&lt;=545,"At Risk","Churned"))))</f>
        <v>No Won Business</v>
      </c>
    </row>
    <row r="69" customFormat="false" ht="15" hidden="false" customHeight="false" outlineLevel="0" collapsed="false">
      <c r="A69" s="7" t="s">
        <v>633</v>
      </c>
      <c r="B69" s="7" t="s">
        <v>634</v>
      </c>
      <c r="C69" s="7" t="s">
        <v>242</v>
      </c>
      <c r="D69" s="7" t="s">
        <v>94</v>
      </c>
      <c r="E69" s="7" t="n">
        <f aca="false">COUNTIF(Closed_Deals!$B$2:$B$761,A69)</f>
        <v>2</v>
      </c>
      <c r="F69" s="7" t="n">
        <f aca="false">COUNTIFS(Closed_Deals!$B$2:$B$761,A69,Closed_Deals!$N$2:$N$761,"Won")</f>
        <v>0</v>
      </c>
      <c r="G69" s="7" t="n">
        <f aca="false">E69-F69</f>
        <v>2</v>
      </c>
      <c r="H69" s="11" t="n">
        <f aca="false">IFERROR(F69/E69,"")</f>
        <v>0</v>
      </c>
      <c r="I69" s="10" t="n">
        <f aca="false">SUMIFS(Closed_Deals!$M$2:$M$761,Closed_Deals!$B$2:$B$761,A69,Closed_Deals!$N$2:$N$761,"Won")</f>
        <v>0</v>
      </c>
      <c r="J69" s="10" t="str">
        <f aca="false">IFERROR(I69/F69,"")</f>
        <v/>
      </c>
      <c r="K69" s="8" t="str">
        <f aca="false">IF(F69=0,"",_xlfn.MINIFS(Closed_Deals!$R$2:$R$761,Closed_Deals!$B$2:$B$761,A69,Closed_Deals!$N$2:$N$761,"Won"))</f>
        <v/>
      </c>
      <c r="L69" s="8" t="str">
        <f aca="false">IF(F69=0,"",_xlfn.MAXIFS(Closed_Deals!$R$2:$R$761,Closed_Deals!$B$2:$B$761,A69,Closed_Deals!$N$2:$N$761,"Won"))</f>
        <v/>
      </c>
      <c r="M69" s="7" t="n">
        <f aca="false">COUNTIF(Open_Pipeline!$B$2:$B$151,A69)</f>
        <v>0</v>
      </c>
      <c r="N69" s="10" t="n">
        <f aca="false">SUMIF(Open_Pipeline!$B$2:$B$151,A69,Open_Pipeline!$M$2:$M$151)</f>
        <v>0</v>
      </c>
      <c r="O69" s="7" t="str">
        <f aca="true">IF(F69=0,"",TODAY()-L69)</f>
        <v/>
      </c>
      <c r="P69" s="7" t="str">
        <f aca="false">IF(F69&gt;=2,"Yes","No")</f>
        <v>No</v>
      </c>
      <c r="Q69" s="7" t="str">
        <f aca="false">IF(F69=0,"No Won Business",IF(M69&gt;0,"Active - In Pipeline",IF(O69&lt;=365,"Active",IF(O69&lt;=545,"At Risk","Churned"))))</f>
        <v>No Won Business</v>
      </c>
    </row>
    <row r="70" customFormat="false" ht="15" hidden="false" customHeight="false" outlineLevel="0" collapsed="false">
      <c r="A70" s="7" t="s">
        <v>256</v>
      </c>
      <c r="B70" s="7" t="s">
        <v>257</v>
      </c>
      <c r="C70" s="7" t="s">
        <v>135</v>
      </c>
      <c r="D70" s="7" t="s">
        <v>162</v>
      </c>
      <c r="E70" s="7" t="n">
        <f aca="false">COUNTIF(Closed_Deals!$B$2:$B$761,A70)</f>
        <v>4</v>
      </c>
      <c r="F70" s="7" t="n">
        <f aca="false">COUNTIFS(Closed_Deals!$B$2:$B$761,A70,Closed_Deals!$N$2:$N$761,"Won")</f>
        <v>3</v>
      </c>
      <c r="G70" s="7" t="n">
        <f aca="false">E70-F70</f>
        <v>1</v>
      </c>
      <c r="H70" s="11" t="n">
        <f aca="false">IFERROR(F70/E70,"")</f>
        <v>0.75</v>
      </c>
      <c r="I70" s="10" t="n">
        <f aca="false">SUMIFS(Closed_Deals!$M$2:$M$761,Closed_Deals!$B$2:$B$761,A70,Closed_Deals!$N$2:$N$761,"Won")</f>
        <v>267921.8</v>
      </c>
      <c r="J70" s="10" t="n">
        <f aca="false">IFERROR(I70/F70,"")</f>
        <v>89307.2666666667</v>
      </c>
      <c r="K70" s="8" t="n">
        <f aca="false">IF(F70=0,"",_xlfn.MINIFS(Closed_Deals!$R$2:$R$761,Closed_Deals!$B$2:$B$761,A70,Closed_Deals!$N$2:$N$761,"Won"))</f>
        <v>45561</v>
      </c>
      <c r="L70" s="8" t="n">
        <f aca="false">IF(F70=0,"",_xlfn.MAXIFS(Closed_Deals!$R$2:$R$761,Closed_Deals!$B$2:$B$761,A70,Closed_Deals!$N$2:$N$761,"Won"))</f>
        <v>46071</v>
      </c>
      <c r="M70" s="7" t="n">
        <f aca="false">COUNTIF(Open_Pipeline!$B$2:$B$151,A70)</f>
        <v>3</v>
      </c>
      <c r="N70" s="10" t="n">
        <f aca="false">SUMIF(Open_Pipeline!$B$2:$B$151,A70,Open_Pipeline!$M$2:$M$151)</f>
        <v>304120.2</v>
      </c>
      <c r="O70" s="7" t="n">
        <f aca="true">IF(F70=0,"",TODAY()-L70)</f>
        <v>203</v>
      </c>
      <c r="P70" s="7" t="str">
        <f aca="false">IF(F70&gt;=2,"Yes","No")</f>
        <v>Yes</v>
      </c>
      <c r="Q70" s="7" t="str">
        <f aca="false">IF(F70=0,"No Won Business",IF(M70&gt;0,"Active - In Pipeline",IF(O70&lt;=365,"Active",IF(O70&lt;=545,"At Risk","Churned"))))</f>
        <v>Active - In Pipeline</v>
      </c>
    </row>
    <row r="71" customFormat="false" ht="15" hidden="false" customHeight="false" outlineLevel="0" collapsed="false">
      <c r="A71" s="7" t="s">
        <v>1074</v>
      </c>
      <c r="B71" s="7" t="s">
        <v>1075</v>
      </c>
      <c r="C71" s="7" t="s">
        <v>242</v>
      </c>
      <c r="D71" s="7" t="s">
        <v>115</v>
      </c>
      <c r="E71" s="7" t="n">
        <f aca="false">COUNTIF(Closed_Deals!$B$2:$B$761,A71)</f>
        <v>2</v>
      </c>
      <c r="F71" s="7" t="n">
        <f aca="false">COUNTIFS(Closed_Deals!$B$2:$B$761,A71,Closed_Deals!$N$2:$N$761,"Won")</f>
        <v>1</v>
      </c>
      <c r="G71" s="7" t="n">
        <f aca="false">E71-F71</f>
        <v>1</v>
      </c>
      <c r="H71" s="11" t="n">
        <f aca="false">IFERROR(F71/E71,"")</f>
        <v>0.5</v>
      </c>
      <c r="I71" s="10" t="n">
        <f aca="false">SUMIFS(Closed_Deals!$M$2:$M$761,Closed_Deals!$B$2:$B$761,A71,Closed_Deals!$N$2:$N$761,"Won")</f>
        <v>195293.82</v>
      </c>
      <c r="J71" s="10" t="n">
        <f aca="false">IFERROR(I71/F71,"")</f>
        <v>195293.82</v>
      </c>
      <c r="K71" s="8" t="n">
        <f aca="false">IF(F71=0,"",_xlfn.MINIFS(Closed_Deals!$R$2:$R$761,Closed_Deals!$B$2:$B$761,A71,Closed_Deals!$N$2:$N$761,"Won"))</f>
        <v>46160</v>
      </c>
      <c r="L71" s="8" t="n">
        <f aca="false">IF(F71=0,"",_xlfn.MAXIFS(Closed_Deals!$R$2:$R$761,Closed_Deals!$B$2:$B$761,A71,Closed_Deals!$N$2:$N$761,"Won"))</f>
        <v>46160</v>
      </c>
      <c r="M71" s="7" t="n">
        <f aca="false">COUNTIF(Open_Pipeline!$B$2:$B$151,A71)</f>
        <v>0</v>
      </c>
      <c r="N71" s="10" t="n">
        <f aca="false">SUMIF(Open_Pipeline!$B$2:$B$151,A71,Open_Pipeline!$M$2:$M$151)</f>
        <v>0</v>
      </c>
      <c r="O71" s="7" t="n">
        <f aca="true">IF(F71=0,"",TODAY()-L71)</f>
        <v>114</v>
      </c>
      <c r="P71" s="7" t="str">
        <f aca="false">IF(F71&gt;=2,"Yes","No")</f>
        <v>No</v>
      </c>
      <c r="Q71" s="7" t="str">
        <f aca="false">IF(F71=0,"No Won Business",IF(M71&gt;0,"Active - In Pipeline",IF(O71&lt;=365,"Active",IF(O71&lt;=545,"At Risk","Churned"))))</f>
        <v>Active</v>
      </c>
    </row>
    <row r="72" customFormat="false" ht="15" hidden="false" customHeight="false" outlineLevel="0" collapsed="false">
      <c r="A72" s="7" t="s">
        <v>315</v>
      </c>
      <c r="B72" s="7" t="s">
        <v>316</v>
      </c>
      <c r="C72" s="7" t="s">
        <v>195</v>
      </c>
      <c r="D72" s="7" t="s">
        <v>162</v>
      </c>
      <c r="E72" s="7" t="n">
        <f aca="false">COUNTIF(Closed_Deals!$B$2:$B$761,A72)</f>
        <v>6</v>
      </c>
      <c r="F72" s="7" t="n">
        <f aca="false">COUNTIFS(Closed_Deals!$B$2:$B$761,A72,Closed_Deals!$N$2:$N$761,"Won")</f>
        <v>3</v>
      </c>
      <c r="G72" s="7" t="n">
        <f aca="false">E72-F72</f>
        <v>3</v>
      </c>
      <c r="H72" s="11" t="n">
        <f aca="false">IFERROR(F72/E72,"")</f>
        <v>0.5</v>
      </c>
      <c r="I72" s="10" t="n">
        <f aca="false">SUMIFS(Closed_Deals!$M$2:$M$761,Closed_Deals!$B$2:$B$761,A72,Closed_Deals!$N$2:$N$761,"Won")</f>
        <v>615334.02</v>
      </c>
      <c r="J72" s="10" t="n">
        <f aca="false">IFERROR(I72/F72,"")</f>
        <v>205111.34</v>
      </c>
      <c r="K72" s="8" t="n">
        <f aca="false">IF(F72=0,"",_xlfn.MINIFS(Closed_Deals!$R$2:$R$761,Closed_Deals!$B$2:$B$761,A72,Closed_Deals!$N$2:$N$761,"Won"))</f>
        <v>45668</v>
      </c>
      <c r="L72" s="8" t="n">
        <f aca="false">IF(F72=0,"",_xlfn.MAXIFS(Closed_Deals!$R$2:$R$761,Closed_Deals!$B$2:$B$761,A72,Closed_Deals!$N$2:$N$761,"Won"))</f>
        <v>46290</v>
      </c>
      <c r="M72" s="7" t="n">
        <f aca="false">COUNTIF(Open_Pipeline!$B$2:$B$151,A72)</f>
        <v>1</v>
      </c>
      <c r="N72" s="10" t="n">
        <f aca="false">SUMIF(Open_Pipeline!$B$2:$B$151,A72,Open_Pipeline!$M$2:$M$151)</f>
        <v>116682.09</v>
      </c>
      <c r="O72" s="7" t="n">
        <f aca="true">IF(F72=0,"",TODAY()-L72)</f>
        <v>-16</v>
      </c>
      <c r="P72" s="7" t="str">
        <f aca="false">IF(F72&gt;=2,"Yes","No")</f>
        <v>Yes</v>
      </c>
      <c r="Q72" s="7" t="str">
        <f aca="false">IF(F72=0,"No Won Business",IF(M72&gt;0,"Active - In Pipeline",IF(O72&lt;=365,"Active",IF(O72&lt;=545,"At Risk","Churned"))))</f>
        <v>Active - In Pipeline</v>
      </c>
    </row>
    <row r="73" customFormat="false" ht="15" hidden="false" customHeight="false" outlineLevel="0" collapsed="false">
      <c r="A73" s="7" t="s">
        <v>525</v>
      </c>
      <c r="B73" s="7" t="s">
        <v>526</v>
      </c>
      <c r="C73" s="7" t="s">
        <v>114</v>
      </c>
      <c r="D73" s="7" t="s">
        <v>105</v>
      </c>
      <c r="E73" s="7" t="n">
        <f aca="false">COUNTIF(Closed_Deals!$B$2:$B$761,A73)</f>
        <v>7</v>
      </c>
      <c r="F73" s="7" t="n">
        <f aca="false">COUNTIFS(Closed_Deals!$B$2:$B$761,A73,Closed_Deals!$N$2:$N$761,"Won")</f>
        <v>1</v>
      </c>
      <c r="G73" s="7" t="n">
        <f aca="false">E73-F73</f>
        <v>6</v>
      </c>
      <c r="H73" s="11" t="n">
        <f aca="false">IFERROR(F73/E73,"")</f>
        <v>0.142857142857143</v>
      </c>
      <c r="I73" s="10" t="n">
        <f aca="false">SUMIFS(Closed_Deals!$M$2:$M$761,Closed_Deals!$B$2:$B$761,A73,Closed_Deals!$N$2:$N$761,"Won")</f>
        <v>106365.33</v>
      </c>
      <c r="J73" s="10" t="n">
        <f aca="false">IFERROR(I73/F73,"")</f>
        <v>106365.33</v>
      </c>
      <c r="K73" s="8" t="n">
        <f aca="false">IF(F73=0,"",_xlfn.MINIFS(Closed_Deals!$R$2:$R$761,Closed_Deals!$B$2:$B$761,A73,Closed_Deals!$N$2:$N$761,"Won"))</f>
        <v>46295</v>
      </c>
      <c r="L73" s="8" t="n">
        <f aca="false">IF(F73=0,"",_xlfn.MAXIFS(Closed_Deals!$R$2:$R$761,Closed_Deals!$B$2:$B$761,A73,Closed_Deals!$N$2:$N$761,"Won"))</f>
        <v>46295</v>
      </c>
      <c r="M73" s="7" t="n">
        <f aca="false">COUNTIF(Open_Pipeline!$B$2:$B$151,A73)</f>
        <v>1</v>
      </c>
      <c r="N73" s="10" t="n">
        <f aca="false">SUMIF(Open_Pipeline!$B$2:$B$151,A73,Open_Pipeline!$M$2:$M$151)</f>
        <v>73282.66</v>
      </c>
      <c r="O73" s="7" t="n">
        <f aca="true">IF(F73=0,"",TODAY()-L73)</f>
        <v>-21</v>
      </c>
      <c r="P73" s="7" t="str">
        <f aca="false">IF(F73&gt;=2,"Yes","No")</f>
        <v>No</v>
      </c>
      <c r="Q73" s="7" t="str">
        <f aca="false">IF(F73=0,"No Won Business",IF(M73&gt;0,"Active - In Pipeline",IF(O73&lt;=365,"Active",IF(O73&lt;=545,"At Risk","Churned"))))</f>
        <v>Active - In Pipeline</v>
      </c>
    </row>
    <row r="74" customFormat="false" ht="15" hidden="false" customHeight="false" outlineLevel="0" collapsed="false">
      <c r="A74" s="7" t="s">
        <v>1524</v>
      </c>
      <c r="B74" s="7" t="s">
        <v>1525</v>
      </c>
      <c r="C74" s="7" t="s">
        <v>135</v>
      </c>
      <c r="D74" s="7" t="s">
        <v>94</v>
      </c>
      <c r="E74" s="7" t="n">
        <f aca="false">COUNTIF(Closed_Deals!$B$2:$B$761,A74)</f>
        <v>0</v>
      </c>
      <c r="F74" s="7" t="n">
        <f aca="false">COUNTIFS(Closed_Deals!$B$2:$B$761,A74,Closed_Deals!$N$2:$N$761,"Won")</f>
        <v>0</v>
      </c>
      <c r="G74" s="7" t="n">
        <f aca="false">E74-F74</f>
        <v>0</v>
      </c>
      <c r="H74" s="11" t="str">
        <f aca="false">IFERROR(F74/E74,"")</f>
        <v/>
      </c>
      <c r="I74" s="10" t="n">
        <f aca="false">SUMIFS(Closed_Deals!$M$2:$M$761,Closed_Deals!$B$2:$B$761,A74,Closed_Deals!$N$2:$N$761,"Won")</f>
        <v>0</v>
      </c>
      <c r="J74" s="10" t="str">
        <f aca="false">IFERROR(I74/F74,"")</f>
        <v/>
      </c>
      <c r="K74" s="8" t="str">
        <f aca="false">IF(F74=0,"",_xlfn.MINIFS(Closed_Deals!$R$2:$R$761,Closed_Deals!$B$2:$B$761,A74,Closed_Deals!$N$2:$N$761,"Won"))</f>
        <v/>
      </c>
      <c r="L74" s="8" t="str">
        <f aca="false">IF(F74=0,"",_xlfn.MAXIFS(Closed_Deals!$R$2:$R$761,Closed_Deals!$B$2:$B$761,A74,Closed_Deals!$N$2:$N$761,"Won"))</f>
        <v/>
      </c>
      <c r="M74" s="7" t="n">
        <f aca="false">COUNTIF(Open_Pipeline!$B$2:$B$151,A74)</f>
        <v>0</v>
      </c>
      <c r="N74" s="10" t="n">
        <f aca="false">SUMIF(Open_Pipeline!$B$2:$B$151,A74,Open_Pipeline!$M$2:$M$151)</f>
        <v>0</v>
      </c>
      <c r="O74" s="7" t="str">
        <f aca="true">IF(F74=0,"",TODAY()-L74)</f>
        <v/>
      </c>
      <c r="P74" s="7" t="str">
        <f aca="false">IF(F74&gt;=2,"Yes","No")</f>
        <v>No</v>
      </c>
      <c r="Q74" s="7" t="str">
        <f aca="false">IF(F74=0,"No Won Business",IF(M74&gt;0,"Active - In Pipeline",IF(O74&lt;=365,"Active",IF(O74&lt;=545,"At Risk","Churned"))))</f>
        <v>No Won Business</v>
      </c>
    </row>
    <row r="75" customFormat="false" ht="15" hidden="false" customHeight="false" outlineLevel="0" collapsed="false">
      <c r="A75" s="7" t="s">
        <v>1526</v>
      </c>
      <c r="B75" s="7" t="s">
        <v>1527</v>
      </c>
      <c r="C75" s="7" t="s">
        <v>104</v>
      </c>
      <c r="D75" s="7" t="s">
        <v>162</v>
      </c>
      <c r="E75" s="7" t="n">
        <f aca="false">COUNTIF(Closed_Deals!$B$2:$B$761,A75)</f>
        <v>0</v>
      </c>
      <c r="F75" s="7" t="n">
        <f aca="false">COUNTIFS(Closed_Deals!$B$2:$B$761,A75,Closed_Deals!$N$2:$N$761,"Won")</f>
        <v>0</v>
      </c>
      <c r="G75" s="7" t="n">
        <f aca="false">E75-F75</f>
        <v>0</v>
      </c>
      <c r="H75" s="11" t="str">
        <f aca="false">IFERROR(F75/E75,"")</f>
        <v/>
      </c>
      <c r="I75" s="10" t="n">
        <f aca="false">SUMIFS(Closed_Deals!$M$2:$M$761,Closed_Deals!$B$2:$B$761,A75,Closed_Deals!$N$2:$N$761,"Won")</f>
        <v>0</v>
      </c>
      <c r="J75" s="10" t="str">
        <f aca="false">IFERROR(I75/F75,"")</f>
        <v/>
      </c>
      <c r="K75" s="8" t="str">
        <f aca="false">IF(F75=0,"",_xlfn.MINIFS(Closed_Deals!$R$2:$R$761,Closed_Deals!$B$2:$B$761,A75,Closed_Deals!$N$2:$N$761,"Won"))</f>
        <v/>
      </c>
      <c r="L75" s="8" t="str">
        <f aca="false">IF(F75=0,"",_xlfn.MAXIFS(Closed_Deals!$R$2:$R$761,Closed_Deals!$B$2:$B$761,A75,Closed_Deals!$N$2:$N$761,"Won"))</f>
        <v/>
      </c>
      <c r="M75" s="7" t="n">
        <f aca="false">COUNTIF(Open_Pipeline!$B$2:$B$151,A75)</f>
        <v>0</v>
      </c>
      <c r="N75" s="10" t="n">
        <f aca="false">SUMIF(Open_Pipeline!$B$2:$B$151,A75,Open_Pipeline!$M$2:$M$151)</f>
        <v>0</v>
      </c>
      <c r="O75" s="7" t="str">
        <f aca="true">IF(F75=0,"",TODAY()-L75)</f>
        <v/>
      </c>
      <c r="P75" s="7" t="str">
        <f aca="false">IF(F75&gt;=2,"Yes","No")</f>
        <v>No</v>
      </c>
      <c r="Q75" s="7" t="str">
        <f aca="false">IF(F75=0,"No Won Business",IF(M75&gt;0,"Active - In Pipeline",IF(O75&lt;=365,"Active",IF(O75&lt;=545,"At Risk","Churned"))))</f>
        <v>No Won Business</v>
      </c>
    </row>
    <row r="76" customFormat="false" ht="15" hidden="false" customHeight="false" outlineLevel="0" collapsed="false">
      <c r="A76" s="7" t="s">
        <v>1350</v>
      </c>
      <c r="B76" s="7" t="s">
        <v>1351</v>
      </c>
      <c r="C76" s="7" t="s">
        <v>242</v>
      </c>
      <c r="D76" s="7" t="s">
        <v>115</v>
      </c>
      <c r="E76" s="7" t="n">
        <f aca="false">COUNTIF(Closed_Deals!$B$2:$B$761,A76)</f>
        <v>0</v>
      </c>
      <c r="F76" s="7" t="n">
        <f aca="false">COUNTIFS(Closed_Deals!$B$2:$B$761,A76,Closed_Deals!$N$2:$N$761,"Won")</f>
        <v>0</v>
      </c>
      <c r="G76" s="7" t="n">
        <f aca="false">E76-F76</f>
        <v>0</v>
      </c>
      <c r="H76" s="11" t="str">
        <f aca="false">IFERROR(F76/E76,"")</f>
        <v/>
      </c>
      <c r="I76" s="10" t="n">
        <f aca="false">SUMIFS(Closed_Deals!$M$2:$M$761,Closed_Deals!$B$2:$B$761,A76,Closed_Deals!$N$2:$N$761,"Won")</f>
        <v>0</v>
      </c>
      <c r="J76" s="10" t="str">
        <f aca="false">IFERROR(I76/F76,"")</f>
        <v/>
      </c>
      <c r="K76" s="8" t="str">
        <f aca="false">IF(F76=0,"",_xlfn.MINIFS(Closed_Deals!$R$2:$R$761,Closed_Deals!$B$2:$B$761,A76,Closed_Deals!$N$2:$N$761,"Won"))</f>
        <v/>
      </c>
      <c r="L76" s="8" t="str">
        <f aca="false">IF(F76=0,"",_xlfn.MAXIFS(Closed_Deals!$R$2:$R$761,Closed_Deals!$B$2:$B$761,A76,Closed_Deals!$N$2:$N$761,"Won"))</f>
        <v/>
      </c>
      <c r="M76" s="7" t="n">
        <f aca="false">COUNTIF(Open_Pipeline!$B$2:$B$151,A76)</f>
        <v>2</v>
      </c>
      <c r="N76" s="10" t="n">
        <f aca="false">SUMIF(Open_Pipeline!$B$2:$B$151,A76,Open_Pipeline!$M$2:$M$151)</f>
        <v>153600.77</v>
      </c>
      <c r="O76" s="7" t="str">
        <f aca="true">IF(F76=0,"",TODAY()-L76)</f>
        <v/>
      </c>
      <c r="P76" s="7" t="str">
        <f aca="false">IF(F76&gt;=2,"Yes","No")</f>
        <v>No</v>
      </c>
      <c r="Q76" s="7" t="str">
        <f aca="false">IF(F76=0,"No Won Business",IF(M76&gt;0,"Active - In Pipeline",IF(O76&lt;=365,"Active",IF(O76&lt;=545,"At Risk","Churned"))))</f>
        <v>No Won Business</v>
      </c>
    </row>
    <row r="77" customFormat="false" ht="15" hidden="false" customHeight="false" outlineLevel="0" collapsed="false">
      <c r="A77" s="7" t="s">
        <v>356</v>
      </c>
      <c r="B77" s="7" t="s">
        <v>357</v>
      </c>
      <c r="C77" s="7" t="s">
        <v>114</v>
      </c>
      <c r="D77" s="7" t="s">
        <v>105</v>
      </c>
      <c r="E77" s="7" t="n">
        <f aca="false">COUNTIF(Closed_Deals!$B$2:$B$761,A77)</f>
        <v>3</v>
      </c>
      <c r="F77" s="7" t="n">
        <f aca="false">COUNTIFS(Closed_Deals!$B$2:$B$761,A77,Closed_Deals!$N$2:$N$761,"Won")</f>
        <v>1</v>
      </c>
      <c r="G77" s="7" t="n">
        <f aca="false">E77-F77</f>
        <v>2</v>
      </c>
      <c r="H77" s="11" t="n">
        <f aca="false">IFERROR(F77/E77,"")</f>
        <v>0.333333333333333</v>
      </c>
      <c r="I77" s="10" t="n">
        <f aca="false">SUMIFS(Closed_Deals!$M$2:$M$761,Closed_Deals!$B$2:$B$761,A77,Closed_Deals!$N$2:$N$761,"Won")</f>
        <v>60233.59</v>
      </c>
      <c r="J77" s="10" t="n">
        <f aca="false">IFERROR(I77/F77,"")</f>
        <v>60233.59</v>
      </c>
      <c r="K77" s="8" t="n">
        <f aca="false">IF(F77=0,"",_xlfn.MINIFS(Closed_Deals!$R$2:$R$761,Closed_Deals!$B$2:$B$761,A77,Closed_Deals!$N$2:$N$761,"Won"))</f>
        <v>45701</v>
      </c>
      <c r="L77" s="8" t="n">
        <f aca="false">IF(F77=0,"",_xlfn.MAXIFS(Closed_Deals!$R$2:$R$761,Closed_Deals!$B$2:$B$761,A77,Closed_Deals!$N$2:$N$761,"Won"))</f>
        <v>45701</v>
      </c>
      <c r="M77" s="7" t="n">
        <f aca="false">COUNTIF(Open_Pipeline!$B$2:$B$151,A77)</f>
        <v>1</v>
      </c>
      <c r="N77" s="10" t="n">
        <f aca="false">SUMIF(Open_Pipeline!$B$2:$B$151,A77,Open_Pipeline!$M$2:$M$151)</f>
        <v>273203.63</v>
      </c>
      <c r="O77" s="7" t="n">
        <f aca="true">IF(F77=0,"",TODAY()-L77)</f>
        <v>573</v>
      </c>
      <c r="P77" s="7" t="str">
        <f aca="false">IF(F77&gt;=2,"Yes","No")</f>
        <v>No</v>
      </c>
      <c r="Q77" s="7" t="str">
        <f aca="false">IF(F77=0,"No Won Business",IF(M77&gt;0,"Active - In Pipeline",IF(O77&lt;=365,"Active",IF(O77&lt;=545,"At Risk","Churned"))))</f>
        <v>Active - In Pipeline</v>
      </c>
    </row>
    <row r="78" customFormat="false" ht="15" hidden="false" customHeight="false" outlineLevel="0" collapsed="false">
      <c r="A78" s="7" t="s">
        <v>923</v>
      </c>
      <c r="B78" s="7" t="s">
        <v>924</v>
      </c>
      <c r="C78" s="7" t="s">
        <v>104</v>
      </c>
      <c r="D78" s="7" t="s">
        <v>105</v>
      </c>
      <c r="E78" s="7" t="n">
        <f aca="false">COUNTIF(Closed_Deals!$B$2:$B$761,A78)</f>
        <v>1</v>
      </c>
      <c r="F78" s="7" t="n">
        <f aca="false">COUNTIFS(Closed_Deals!$B$2:$B$761,A78,Closed_Deals!$N$2:$N$761,"Won")</f>
        <v>0</v>
      </c>
      <c r="G78" s="7" t="n">
        <f aca="false">E78-F78</f>
        <v>1</v>
      </c>
      <c r="H78" s="11" t="n">
        <f aca="false">IFERROR(F78/E78,"")</f>
        <v>0</v>
      </c>
      <c r="I78" s="10" t="n">
        <f aca="false">SUMIFS(Closed_Deals!$M$2:$M$761,Closed_Deals!$B$2:$B$761,A78,Closed_Deals!$N$2:$N$761,"Won")</f>
        <v>0</v>
      </c>
      <c r="J78" s="10" t="str">
        <f aca="false">IFERROR(I78/F78,"")</f>
        <v/>
      </c>
      <c r="K78" s="8" t="str">
        <f aca="false">IF(F78=0,"",_xlfn.MINIFS(Closed_Deals!$R$2:$R$761,Closed_Deals!$B$2:$B$761,A78,Closed_Deals!$N$2:$N$761,"Won"))</f>
        <v/>
      </c>
      <c r="L78" s="8" t="str">
        <f aca="false">IF(F78=0,"",_xlfn.MAXIFS(Closed_Deals!$R$2:$R$761,Closed_Deals!$B$2:$B$761,A78,Closed_Deals!$N$2:$N$761,"Won"))</f>
        <v/>
      </c>
      <c r="M78" s="7" t="n">
        <f aca="false">COUNTIF(Open_Pipeline!$B$2:$B$151,A78)</f>
        <v>0</v>
      </c>
      <c r="N78" s="10" t="n">
        <f aca="false">SUMIF(Open_Pipeline!$B$2:$B$151,A78,Open_Pipeline!$M$2:$M$151)</f>
        <v>0</v>
      </c>
      <c r="O78" s="7" t="str">
        <f aca="true">IF(F78=0,"",TODAY()-L78)</f>
        <v/>
      </c>
      <c r="P78" s="7" t="str">
        <f aca="false">IF(F78&gt;=2,"Yes","No")</f>
        <v>No</v>
      </c>
      <c r="Q78" s="7" t="str">
        <f aca="false">IF(F78=0,"No Won Business",IF(M78&gt;0,"Active - In Pipeline",IF(O78&lt;=365,"Active",IF(O78&lt;=545,"At Risk","Churned"))))</f>
        <v>No Won Business</v>
      </c>
    </row>
    <row r="79" customFormat="false" ht="15" hidden="false" customHeight="false" outlineLevel="0" collapsed="false">
      <c r="A79" s="7" t="s">
        <v>1528</v>
      </c>
      <c r="B79" s="7" t="s">
        <v>1529</v>
      </c>
      <c r="C79" s="7" t="s">
        <v>93</v>
      </c>
      <c r="D79" s="7" t="s">
        <v>105</v>
      </c>
      <c r="E79" s="7" t="n">
        <f aca="false">COUNTIF(Closed_Deals!$B$2:$B$761,A79)</f>
        <v>0</v>
      </c>
      <c r="F79" s="7" t="n">
        <f aca="false">COUNTIFS(Closed_Deals!$B$2:$B$761,A79,Closed_Deals!$N$2:$N$761,"Won")</f>
        <v>0</v>
      </c>
      <c r="G79" s="7" t="n">
        <f aca="false">E79-F79</f>
        <v>0</v>
      </c>
      <c r="H79" s="11" t="str">
        <f aca="false">IFERROR(F79/E79,"")</f>
        <v/>
      </c>
      <c r="I79" s="10" t="n">
        <f aca="false">SUMIFS(Closed_Deals!$M$2:$M$761,Closed_Deals!$B$2:$B$761,A79,Closed_Deals!$N$2:$N$761,"Won")</f>
        <v>0</v>
      </c>
      <c r="J79" s="10" t="str">
        <f aca="false">IFERROR(I79/F79,"")</f>
        <v/>
      </c>
      <c r="K79" s="8" t="str">
        <f aca="false">IF(F79=0,"",_xlfn.MINIFS(Closed_Deals!$R$2:$R$761,Closed_Deals!$B$2:$B$761,A79,Closed_Deals!$N$2:$N$761,"Won"))</f>
        <v/>
      </c>
      <c r="L79" s="8" t="str">
        <f aca="false">IF(F79=0,"",_xlfn.MAXIFS(Closed_Deals!$R$2:$R$761,Closed_Deals!$B$2:$B$761,A79,Closed_Deals!$N$2:$N$761,"Won"))</f>
        <v/>
      </c>
      <c r="M79" s="7" t="n">
        <f aca="false">COUNTIF(Open_Pipeline!$B$2:$B$151,A79)</f>
        <v>0</v>
      </c>
      <c r="N79" s="10" t="n">
        <f aca="false">SUMIF(Open_Pipeline!$B$2:$B$151,A79,Open_Pipeline!$M$2:$M$151)</f>
        <v>0</v>
      </c>
      <c r="O79" s="7" t="str">
        <f aca="true">IF(F79=0,"",TODAY()-L79)</f>
        <v/>
      </c>
      <c r="P79" s="7" t="str">
        <f aca="false">IF(F79&gt;=2,"Yes","No")</f>
        <v>No</v>
      </c>
      <c r="Q79" s="7" t="str">
        <f aca="false">IF(F79=0,"No Won Business",IF(M79&gt;0,"Active - In Pipeline",IF(O79&lt;=365,"Active",IF(O79&lt;=545,"At Risk","Churned"))))</f>
        <v>No Won Business</v>
      </c>
    </row>
    <row r="80" customFormat="false" ht="15" hidden="false" customHeight="false" outlineLevel="0" collapsed="false">
      <c r="A80" s="7" t="s">
        <v>598</v>
      </c>
      <c r="B80" s="7" t="s">
        <v>599</v>
      </c>
      <c r="C80" s="7" t="s">
        <v>114</v>
      </c>
      <c r="D80" s="7" t="s">
        <v>162</v>
      </c>
      <c r="E80" s="7" t="n">
        <f aca="false">COUNTIF(Closed_Deals!$B$2:$B$761,A80)</f>
        <v>1</v>
      </c>
      <c r="F80" s="7" t="n">
        <f aca="false">COUNTIFS(Closed_Deals!$B$2:$B$761,A80,Closed_Deals!$N$2:$N$761,"Won")</f>
        <v>1</v>
      </c>
      <c r="G80" s="7" t="n">
        <f aca="false">E80-F80</f>
        <v>0</v>
      </c>
      <c r="H80" s="11" t="n">
        <f aca="false">IFERROR(F80/E80,"")</f>
        <v>1</v>
      </c>
      <c r="I80" s="10" t="n">
        <f aca="false">SUMIFS(Closed_Deals!$M$2:$M$761,Closed_Deals!$B$2:$B$761,A80,Closed_Deals!$N$2:$N$761,"Won")</f>
        <v>122802.81</v>
      </c>
      <c r="J80" s="10" t="n">
        <f aca="false">IFERROR(I80/F80,"")</f>
        <v>122802.81</v>
      </c>
      <c r="K80" s="8" t="n">
        <f aca="false">IF(F80=0,"",_xlfn.MINIFS(Closed_Deals!$R$2:$R$761,Closed_Deals!$B$2:$B$761,A80,Closed_Deals!$N$2:$N$761,"Won"))</f>
        <v>45723</v>
      </c>
      <c r="L80" s="8" t="n">
        <f aca="false">IF(F80=0,"",_xlfn.MAXIFS(Closed_Deals!$R$2:$R$761,Closed_Deals!$B$2:$B$761,A80,Closed_Deals!$N$2:$N$761,"Won"))</f>
        <v>45723</v>
      </c>
      <c r="M80" s="7" t="n">
        <f aca="false">COUNTIF(Open_Pipeline!$B$2:$B$151,A80)</f>
        <v>0</v>
      </c>
      <c r="N80" s="10" t="n">
        <f aca="false">SUMIF(Open_Pipeline!$B$2:$B$151,A80,Open_Pipeline!$M$2:$M$151)</f>
        <v>0</v>
      </c>
      <c r="O80" s="7" t="n">
        <f aca="true">IF(F80=0,"",TODAY()-L80)</f>
        <v>551</v>
      </c>
      <c r="P80" s="7" t="str">
        <f aca="false">IF(F80&gt;=2,"Yes","No")</f>
        <v>No</v>
      </c>
      <c r="Q80" s="7" t="str">
        <f aca="false">IF(F80=0,"No Won Business",IF(M80&gt;0,"Active - In Pipeline",IF(O80&lt;=365,"Active",IF(O80&lt;=545,"At Risk","Churned"))))</f>
        <v>Churned</v>
      </c>
    </row>
    <row r="81" customFormat="false" ht="15" hidden="false" customHeight="false" outlineLevel="0" collapsed="false">
      <c r="A81" s="7" t="s">
        <v>160</v>
      </c>
      <c r="B81" s="7" t="s">
        <v>161</v>
      </c>
      <c r="C81" s="7" t="s">
        <v>151</v>
      </c>
      <c r="D81" s="7" t="s">
        <v>162</v>
      </c>
      <c r="E81" s="7" t="n">
        <f aca="false">COUNTIF(Closed_Deals!$B$2:$B$761,A81)</f>
        <v>14</v>
      </c>
      <c r="F81" s="7" t="n">
        <f aca="false">COUNTIFS(Closed_Deals!$B$2:$B$761,A81,Closed_Deals!$N$2:$N$761,"Won")</f>
        <v>3</v>
      </c>
      <c r="G81" s="7" t="n">
        <f aca="false">E81-F81</f>
        <v>11</v>
      </c>
      <c r="H81" s="11" t="n">
        <f aca="false">IFERROR(F81/E81,"")</f>
        <v>0.214285714285714</v>
      </c>
      <c r="I81" s="10" t="n">
        <f aca="false">SUMIFS(Closed_Deals!$M$2:$M$761,Closed_Deals!$B$2:$B$761,A81,Closed_Deals!$N$2:$N$761,"Won")</f>
        <v>201424.16</v>
      </c>
      <c r="J81" s="10" t="n">
        <f aca="false">IFERROR(I81/F81,"")</f>
        <v>67141.3866666667</v>
      </c>
      <c r="K81" s="8" t="n">
        <f aca="false">IF(F81=0,"",_xlfn.MINIFS(Closed_Deals!$R$2:$R$761,Closed_Deals!$B$2:$B$761,A81,Closed_Deals!$N$2:$N$761,"Won"))</f>
        <v>45948</v>
      </c>
      <c r="L81" s="8" t="n">
        <f aca="false">IF(F81=0,"",_xlfn.MAXIFS(Closed_Deals!$R$2:$R$761,Closed_Deals!$B$2:$B$761,A81,Closed_Deals!$N$2:$N$761,"Won"))</f>
        <v>46047</v>
      </c>
      <c r="M81" s="7" t="n">
        <f aca="false">COUNTIF(Open_Pipeline!$B$2:$B$151,A81)</f>
        <v>1</v>
      </c>
      <c r="N81" s="10" t="n">
        <f aca="false">SUMIF(Open_Pipeline!$B$2:$B$151,A81,Open_Pipeline!$M$2:$M$151)</f>
        <v>313562.17</v>
      </c>
      <c r="O81" s="7" t="n">
        <f aca="true">IF(F81=0,"",TODAY()-L81)</f>
        <v>227</v>
      </c>
      <c r="P81" s="7" t="str">
        <f aca="false">IF(F81&gt;=2,"Yes","No")</f>
        <v>Yes</v>
      </c>
      <c r="Q81" s="7" t="str">
        <f aca="false">IF(F81=0,"No Won Business",IF(M81&gt;0,"Active - In Pipeline",IF(O81&lt;=365,"Active",IF(O81&lt;=545,"At Risk","Churned"))))</f>
        <v>Active - In Pipeline</v>
      </c>
    </row>
    <row r="82" customFormat="false" ht="15" hidden="false" customHeight="false" outlineLevel="0" collapsed="false">
      <c r="A82" s="7" t="s">
        <v>1530</v>
      </c>
      <c r="B82" s="7" t="s">
        <v>1531</v>
      </c>
      <c r="C82" s="7" t="s">
        <v>114</v>
      </c>
      <c r="D82" s="7" t="s">
        <v>105</v>
      </c>
      <c r="E82" s="7" t="n">
        <f aca="false">COUNTIF(Closed_Deals!$B$2:$B$761,A82)</f>
        <v>0</v>
      </c>
      <c r="F82" s="7" t="n">
        <f aca="false">COUNTIFS(Closed_Deals!$B$2:$B$761,A82,Closed_Deals!$N$2:$N$761,"Won")</f>
        <v>0</v>
      </c>
      <c r="G82" s="7" t="n">
        <f aca="false">E82-F82</f>
        <v>0</v>
      </c>
      <c r="H82" s="11" t="str">
        <f aca="false">IFERROR(F82/E82,"")</f>
        <v/>
      </c>
      <c r="I82" s="10" t="n">
        <f aca="false">SUMIFS(Closed_Deals!$M$2:$M$761,Closed_Deals!$B$2:$B$761,A82,Closed_Deals!$N$2:$N$761,"Won")</f>
        <v>0</v>
      </c>
      <c r="J82" s="10" t="str">
        <f aca="false">IFERROR(I82/F82,"")</f>
        <v/>
      </c>
      <c r="K82" s="8" t="str">
        <f aca="false">IF(F82=0,"",_xlfn.MINIFS(Closed_Deals!$R$2:$R$761,Closed_Deals!$B$2:$B$761,A82,Closed_Deals!$N$2:$N$761,"Won"))</f>
        <v/>
      </c>
      <c r="L82" s="8" t="str">
        <f aca="false">IF(F82=0,"",_xlfn.MAXIFS(Closed_Deals!$R$2:$R$761,Closed_Deals!$B$2:$B$761,A82,Closed_Deals!$N$2:$N$761,"Won"))</f>
        <v/>
      </c>
      <c r="M82" s="7" t="n">
        <f aca="false">COUNTIF(Open_Pipeline!$B$2:$B$151,A82)</f>
        <v>0</v>
      </c>
      <c r="N82" s="10" t="n">
        <f aca="false">SUMIF(Open_Pipeline!$B$2:$B$151,A82,Open_Pipeline!$M$2:$M$151)</f>
        <v>0</v>
      </c>
      <c r="O82" s="7" t="str">
        <f aca="true">IF(F82=0,"",TODAY()-L82)</f>
        <v/>
      </c>
      <c r="P82" s="7" t="str">
        <f aca="false">IF(F82&gt;=2,"Yes","No")</f>
        <v>No</v>
      </c>
      <c r="Q82" s="7" t="str">
        <f aca="false">IF(F82=0,"No Won Business",IF(M82&gt;0,"Active - In Pipeline",IF(O82&lt;=365,"Active",IF(O82&lt;=545,"At Risk","Churned"))))</f>
        <v>No Won Business</v>
      </c>
    </row>
    <row r="83" customFormat="false" ht="15" hidden="false" customHeight="false" outlineLevel="0" collapsed="false">
      <c r="A83" s="7" t="s">
        <v>817</v>
      </c>
      <c r="B83" s="7" t="s">
        <v>818</v>
      </c>
      <c r="C83" s="7" t="s">
        <v>93</v>
      </c>
      <c r="D83" s="7" t="s">
        <v>105</v>
      </c>
      <c r="E83" s="7" t="n">
        <f aca="false">COUNTIF(Closed_Deals!$B$2:$B$761,A83)</f>
        <v>2</v>
      </c>
      <c r="F83" s="7" t="n">
        <f aca="false">COUNTIFS(Closed_Deals!$B$2:$B$761,A83,Closed_Deals!$N$2:$N$761,"Won")</f>
        <v>0</v>
      </c>
      <c r="G83" s="7" t="n">
        <f aca="false">E83-F83</f>
        <v>2</v>
      </c>
      <c r="H83" s="11" t="n">
        <f aca="false">IFERROR(F83/E83,"")</f>
        <v>0</v>
      </c>
      <c r="I83" s="10" t="n">
        <f aca="false">SUMIFS(Closed_Deals!$M$2:$M$761,Closed_Deals!$B$2:$B$761,A83,Closed_Deals!$N$2:$N$761,"Won")</f>
        <v>0</v>
      </c>
      <c r="J83" s="10" t="str">
        <f aca="false">IFERROR(I83/F83,"")</f>
        <v/>
      </c>
      <c r="K83" s="8" t="str">
        <f aca="false">IF(F83=0,"",_xlfn.MINIFS(Closed_Deals!$R$2:$R$761,Closed_Deals!$B$2:$B$761,A83,Closed_Deals!$N$2:$N$761,"Won"))</f>
        <v/>
      </c>
      <c r="L83" s="8" t="str">
        <f aca="false">IF(F83=0,"",_xlfn.MAXIFS(Closed_Deals!$R$2:$R$761,Closed_Deals!$B$2:$B$761,A83,Closed_Deals!$N$2:$N$761,"Won"))</f>
        <v/>
      </c>
      <c r="M83" s="7" t="n">
        <f aca="false">COUNTIF(Open_Pipeline!$B$2:$B$151,A83)</f>
        <v>0</v>
      </c>
      <c r="N83" s="10" t="n">
        <f aca="false">SUMIF(Open_Pipeline!$B$2:$B$151,A83,Open_Pipeline!$M$2:$M$151)</f>
        <v>0</v>
      </c>
      <c r="O83" s="7" t="str">
        <f aca="true">IF(F83=0,"",TODAY()-L83)</f>
        <v/>
      </c>
      <c r="P83" s="7" t="str">
        <f aca="false">IF(F83&gt;=2,"Yes","No")</f>
        <v>No</v>
      </c>
      <c r="Q83" s="7" t="str">
        <f aca="false">IF(F83=0,"No Won Business",IF(M83&gt;0,"Active - In Pipeline",IF(O83&lt;=365,"Active",IF(O83&lt;=545,"At Risk","Churned"))))</f>
        <v>No Won Business</v>
      </c>
    </row>
    <row r="84" customFormat="false" ht="15" hidden="false" customHeight="false" outlineLevel="0" collapsed="false">
      <c r="A84" s="7" t="s">
        <v>680</v>
      </c>
      <c r="B84" s="7" t="s">
        <v>681</v>
      </c>
      <c r="C84" s="7" t="s">
        <v>242</v>
      </c>
      <c r="D84" s="7" t="s">
        <v>105</v>
      </c>
      <c r="E84" s="7" t="n">
        <f aca="false">COUNTIF(Closed_Deals!$B$2:$B$761,A84)</f>
        <v>1</v>
      </c>
      <c r="F84" s="7" t="n">
        <f aca="false">COUNTIFS(Closed_Deals!$B$2:$B$761,A84,Closed_Deals!$N$2:$N$761,"Won")</f>
        <v>1</v>
      </c>
      <c r="G84" s="7" t="n">
        <f aca="false">E84-F84</f>
        <v>0</v>
      </c>
      <c r="H84" s="11" t="n">
        <f aca="false">IFERROR(F84/E84,"")</f>
        <v>1</v>
      </c>
      <c r="I84" s="10" t="n">
        <f aca="false">SUMIFS(Closed_Deals!$M$2:$M$761,Closed_Deals!$B$2:$B$761,A84,Closed_Deals!$N$2:$N$761,"Won")</f>
        <v>73882.54</v>
      </c>
      <c r="J84" s="10" t="n">
        <f aca="false">IFERROR(I84/F84,"")</f>
        <v>73882.54</v>
      </c>
      <c r="K84" s="8" t="n">
        <f aca="false">IF(F84=0,"",_xlfn.MINIFS(Closed_Deals!$R$2:$R$761,Closed_Deals!$B$2:$B$761,A84,Closed_Deals!$N$2:$N$761,"Won"))</f>
        <v>45805</v>
      </c>
      <c r="L84" s="8" t="n">
        <f aca="false">IF(F84=0,"",_xlfn.MAXIFS(Closed_Deals!$R$2:$R$761,Closed_Deals!$B$2:$B$761,A84,Closed_Deals!$N$2:$N$761,"Won"))</f>
        <v>45805</v>
      </c>
      <c r="M84" s="7" t="n">
        <f aca="false">COUNTIF(Open_Pipeline!$B$2:$B$151,A84)</f>
        <v>0</v>
      </c>
      <c r="N84" s="10" t="n">
        <f aca="false">SUMIF(Open_Pipeline!$B$2:$B$151,A84,Open_Pipeline!$M$2:$M$151)</f>
        <v>0</v>
      </c>
      <c r="O84" s="7" t="n">
        <f aca="true">IF(F84=0,"",TODAY()-L84)</f>
        <v>469</v>
      </c>
      <c r="P84" s="7" t="str">
        <f aca="false">IF(F84&gt;=2,"Yes","No")</f>
        <v>No</v>
      </c>
      <c r="Q84" s="7" t="str">
        <f aca="false">IF(F84=0,"No Won Business",IF(M84&gt;0,"Active - In Pipeline",IF(O84&lt;=365,"Active",IF(O84&lt;=545,"At Risk","Churned"))))</f>
        <v>At Risk</v>
      </c>
    </row>
    <row r="85" customFormat="false" ht="15" hidden="false" customHeight="false" outlineLevel="0" collapsed="false">
      <c r="A85" s="7" t="s">
        <v>1051</v>
      </c>
      <c r="B85" s="7" t="s">
        <v>1052</v>
      </c>
      <c r="C85" s="7" t="s">
        <v>151</v>
      </c>
      <c r="D85" s="7" t="s">
        <v>105</v>
      </c>
      <c r="E85" s="7" t="n">
        <f aca="false">COUNTIF(Closed_Deals!$B$2:$B$761,A85)</f>
        <v>1</v>
      </c>
      <c r="F85" s="7" t="n">
        <f aca="false">COUNTIFS(Closed_Deals!$B$2:$B$761,A85,Closed_Deals!$N$2:$N$761,"Won")</f>
        <v>0</v>
      </c>
      <c r="G85" s="7" t="n">
        <f aca="false">E85-F85</f>
        <v>1</v>
      </c>
      <c r="H85" s="11" t="n">
        <f aca="false">IFERROR(F85/E85,"")</f>
        <v>0</v>
      </c>
      <c r="I85" s="10" t="n">
        <f aca="false">SUMIFS(Closed_Deals!$M$2:$M$761,Closed_Deals!$B$2:$B$761,A85,Closed_Deals!$N$2:$N$761,"Won")</f>
        <v>0</v>
      </c>
      <c r="J85" s="10" t="str">
        <f aca="false">IFERROR(I85/F85,"")</f>
        <v/>
      </c>
      <c r="K85" s="8" t="str">
        <f aca="false">IF(F85=0,"",_xlfn.MINIFS(Closed_Deals!$R$2:$R$761,Closed_Deals!$B$2:$B$761,A85,Closed_Deals!$N$2:$N$761,"Won"))</f>
        <v/>
      </c>
      <c r="L85" s="8" t="str">
        <f aca="false">IF(F85=0,"",_xlfn.MAXIFS(Closed_Deals!$R$2:$R$761,Closed_Deals!$B$2:$B$761,A85,Closed_Deals!$N$2:$N$761,"Won"))</f>
        <v/>
      </c>
      <c r="M85" s="7" t="n">
        <f aca="false">COUNTIF(Open_Pipeline!$B$2:$B$151,A85)</f>
        <v>0</v>
      </c>
      <c r="N85" s="10" t="n">
        <f aca="false">SUMIF(Open_Pipeline!$B$2:$B$151,A85,Open_Pipeline!$M$2:$M$151)</f>
        <v>0</v>
      </c>
      <c r="O85" s="7" t="str">
        <f aca="true">IF(F85=0,"",TODAY()-L85)</f>
        <v/>
      </c>
      <c r="P85" s="7" t="str">
        <f aca="false">IF(F85&gt;=2,"Yes","No")</f>
        <v>No</v>
      </c>
      <c r="Q85" s="7" t="str">
        <f aca="false">IF(F85=0,"No Won Business",IF(M85&gt;0,"Active - In Pipeline",IF(O85&lt;=365,"Active",IF(O85&lt;=545,"At Risk","Churned"))))</f>
        <v>No Won Business</v>
      </c>
    </row>
    <row r="86" customFormat="false" ht="15" hidden="false" customHeight="false" outlineLevel="0" collapsed="false">
      <c r="A86" s="7" t="s">
        <v>1532</v>
      </c>
      <c r="B86" s="7" t="s">
        <v>1533</v>
      </c>
      <c r="C86" s="7" t="s">
        <v>104</v>
      </c>
      <c r="D86" s="7" t="s">
        <v>94</v>
      </c>
      <c r="E86" s="7" t="n">
        <f aca="false">COUNTIF(Closed_Deals!$B$2:$B$761,A86)</f>
        <v>0</v>
      </c>
      <c r="F86" s="7" t="n">
        <f aca="false">COUNTIFS(Closed_Deals!$B$2:$B$761,A86,Closed_Deals!$N$2:$N$761,"Won")</f>
        <v>0</v>
      </c>
      <c r="G86" s="7" t="n">
        <f aca="false">E86-F86</f>
        <v>0</v>
      </c>
      <c r="H86" s="11" t="str">
        <f aca="false">IFERROR(F86/E86,"")</f>
        <v/>
      </c>
      <c r="I86" s="10" t="n">
        <f aca="false">SUMIFS(Closed_Deals!$M$2:$M$761,Closed_Deals!$B$2:$B$761,A86,Closed_Deals!$N$2:$N$761,"Won")</f>
        <v>0</v>
      </c>
      <c r="J86" s="10" t="str">
        <f aca="false">IFERROR(I86/F86,"")</f>
        <v/>
      </c>
      <c r="K86" s="8" t="str">
        <f aca="false">IF(F86=0,"",_xlfn.MINIFS(Closed_Deals!$R$2:$R$761,Closed_Deals!$B$2:$B$761,A86,Closed_Deals!$N$2:$N$761,"Won"))</f>
        <v/>
      </c>
      <c r="L86" s="8" t="str">
        <f aca="false">IF(F86=0,"",_xlfn.MAXIFS(Closed_Deals!$R$2:$R$761,Closed_Deals!$B$2:$B$761,A86,Closed_Deals!$N$2:$N$761,"Won"))</f>
        <v/>
      </c>
      <c r="M86" s="7" t="n">
        <f aca="false">COUNTIF(Open_Pipeline!$B$2:$B$151,A86)</f>
        <v>0</v>
      </c>
      <c r="N86" s="10" t="n">
        <f aca="false">SUMIF(Open_Pipeline!$B$2:$B$151,A86,Open_Pipeline!$M$2:$M$151)</f>
        <v>0</v>
      </c>
      <c r="O86" s="7" t="str">
        <f aca="true">IF(F86=0,"",TODAY()-L86)</f>
        <v/>
      </c>
      <c r="P86" s="7" t="str">
        <f aca="false">IF(F86&gt;=2,"Yes","No")</f>
        <v>No</v>
      </c>
      <c r="Q86" s="7" t="str">
        <f aca="false">IF(F86=0,"No Won Business",IF(M86&gt;0,"Active - In Pipeline",IF(O86&lt;=365,"Active",IF(O86&lt;=545,"At Risk","Churned"))))</f>
        <v>No Won Business</v>
      </c>
    </row>
    <row r="87" customFormat="false" ht="15" hidden="false" customHeight="false" outlineLevel="0" collapsed="false">
      <c r="A87" s="7" t="s">
        <v>91</v>
      </c>
      <c r="B87" s="7" t="s">
        <v>92</v>
      </c>
      <c r="C87" s="7" t="s">
        <v>93</v>
      </c>
      <c r="D87" s="7" t="s">
        <v>94</v>
      </c>
      <c r="E87" s="7" t="n">
        <f aca="false">COUNTIF(Closed_Deals!$B$2:$B$761,A87)</f>
        <v>10</v>
      </c>
      <c r="F87" s="7" t="n">
        <f aca="false">COUNTIFS(Closed_Deals!$B$2:$B$761,A87,Closed_Deals!$N$2:$N$761,"Won")</f>
        <v>3</v>
      </c>
      <c r="G87" s="7" t="n">
        <f aca="false">E87-F87</f>
        <v>7</v>
      </c>
      <c r="H87" s="11" t="n">
        <f aca="false">IFERROR(F87/E87,"")</f>
        <v>0.3</v>
      </c>
      <c r="I87" s="10" t="n">
        <f aca="false">SUMIFS(Closed_Deals!$M$2:$M$761,Closed_Deals!$B$2:$B$761,A87,Closed_Deals!$N$2:$N$761,"Won")</f>
        <v>500877.96</v>
      </c>
      <c r="J87" s="10" t="n">
        <f aca="false">IFERROR(I87/F87,"")</f>
        <v>166959.32</v>
      </c>
      <c r="K87" s="8" t="n">
        <f aca="false">IF(F87=0,"",_xlfn.MINIFS(Closed_Deals!$R$2:$R$761,Closed_Deals!$B$2:$B$761,A87,Closed_Deals!$N$2:$N$761,"Won"))</f>
        <v>45804</v>
      </c>
      <c r="L87" s="8" t="n">
        <f aca="false">IF(F87=0,"",_xlfn.MAXIFS(Closed_Deals!$R$2:$R$761,Closed_Deals!$B$2:$B$761,A87,Closed_Deals!$N$2:$N$761,"Won"))</f>
        <v>46135</v>
      </c>
      <c r="M87" s="7" t="n">
        <f aca="false">COUNTIF(Open_Pipeline!$B$2:$B$151,A87)</f>
        <v>1</v>
      </c>
      <c r="N87" s="10" t="n">
        <f aca="false">SUMIF(Open_Pipeline!$B$2:$B$151,A87,Open_Pipeline!$M$2:$M$151)</f>
        <v>62225.05</v>
      </c>
      <c r="O87" s="7" t="n">
        <f aca="true">IF(F87=0,"",TODAY()-L87)</f>
        <v>139</v>
      </c>
      <c r="P87" s="7" t="str">
        <f aca="false">IF(F87&gt;=2,"Yes","No")</f>
        <v>Yes</v>
      </c>
      <c r="Q87" s="7" t="str">
        <f aca="false">IF(F87=0,"No Won Business",IF(M87&gt;0,"Active - In Pipeline",IF(O87&lt;=365,"Active",IF(O87&lt;=545,"At Risk","Churned"))))</f>
        <v>Active - In Pipeline</v>
      </c>
    </row>
    <row r="88" customFormat="false" ht="15" hidden="false" customHeight="false" outlineLevel="0" collapsed="false">
      <c r="A88" s="7" t="s">
        <v>297</v>
      </c>
      <c r="B88" s="7" t="s">
        <v>298</v>
      </c>
      <c r="C88" s="7" t="s">
        <v>201</v>
      </c>
      <c r="D88" s="7" t="s">
        <v>162</v>
      </c>
      <c r="E88" s="7" t="n">
        <f aca="false">COUNTIF(Closed_Deals!$B$2:$B$761,A88)</f>
        <v>4</v>
      </c>
      <c r="F88" s="7" t="n">
        <f aca="false">COUNTIFS(Closed_Deals!$B$2:$B$761,A88,Closed_Deals!$N$2:$N$761,"Won")</f>
        <v>2</v>
      </c>
      <c r="G88" s="7" t="n">
        <f aca="false">E88-F88</f>
        <v>2</v>
      </c>
      <c r="H88" s="11" t="n">
        <f aca="false">IFERROR(F88/E88,"")</f>
        <v>0.5</v>
      </c>
      <c r="I88" s="10" t="n">
        <f aca="false">SUMIFS(Closed_Deals!$M$2:$M$761,Closed_Deals!$B$2:$B$761,A88,Closed_Deals!$N$2:$N$761,"Won")</f>
        <v>174244.7</v>
      </c>
      <c r="J88" s="10" t="n">
        <f aca="false">IFERROR(I88/F88,"")</f>
        <v>87122.35</v>
      </c>
      <c r="K88" s="8" t="n">
        <f aca="false">IF(F88=0,"",_xlfn.MINIFS(Closed_Deals!$R$2:$R$761,Closed_Deals!$B$2:$B$761,A88,Closed_Deals!$N$2:$N$761,"Won"))</f>
        <v>45519</v>
      </c>
      <c r="L88" s="8" t="n">
        <f aca="false">IF(F88=0,"",_xlfn.MAXIFS(Closed_Deals!$R$2:$R$761,Closed_Deals!$B$2:$B$761,A88,Closed_Deals!$N$2:$N$761,"Won"))</f>
        <v>46081</v>
      </c>
      <c r="M88" s="7" t="n">
        <f aca="false">COUNTIF(Open_Pipeline!$B$2:$B$151,A88)</f>
        <v>1</v>
      </c>
      <c r="N88" s="10" t="n">
        <f aca="false">SUMIF(Open_Pipeline!$B$2:$B$151,A88,Open_Pipeline!$M$2:$M$151)</f>
        <v>58204.06</v>
      </c>
      <c r="O88" s="7" t="n">
        <f aca="true">IF(F88=0,"",TODAY()-L88)</f>
        <v>193</v>
      </c>
      <c r="P88" s="7" t="str">
        <f aca="false">IF(F88&gt;=2,"Yes","No")</f>
        <v>Yes</v>
      </c>
      <c r="Q88" s="7" t="str">
        <f aca="false">IF(F88=0,"No Won Business",IF(M88&gt;0,"Active - In Pipeline",IF(O88&lt;=365,"Active",IF(O88&lt;=545,"At Risk","Churned"))))</f>
        <v>Active - In Pipeline</v>
      </c>
    </row>
    <row r="89" customFormat="false" ht="15" hidden="false" customHeight="false" outlineLevel="0" collapsed="false">
      <c r="A89" s="7" t="s">
        <v>1534</v>
      </c>
      <c r="B89" s="7" t="s">
        <v>1535</v>
      </c>
      <c r="C89" s="7" t="s">
        <v>135</v>
      </c>
      <c r="D89" s="7" t="s">
        <v>162</v>
      </c>
      <c r="E89" s="7" t="n">
        <f aca="false">COUNTIF(Closed_Deals!$B$2:$B$761,A89)</f>
        <v>0</v>
      </c>
      <c r="F89" s="7" t="n">
        <f aca="false">COUNTIFS(Closed_Deals!$B$2:$B$761,A89,Closed_Deals!$N$2:$N$761,"Won")</f>
        <v>0</v>
      </c>
      <c r="G89" s="7" t="n">
        <f aca="false">E89-F89</f>
        <v>0</v>
      </c>
      <c r="H89" s="11" t="str">
        <f aca="false">IFERROR(F89/E89,"")</f>
        <v/>
      </c>
      <c r="I89" s="10" t="n">
        <f aca="false">SUMIFS(Closed_Deals!$M$2:$M$761,Closed_Deals!$B$2:$B$761,A89,Closed_Deals!$N$2:$N$761,"Won")</f>
        <v>0</v>
      </c>
      <c r="J89" s="10" t="str">
        <f aca="false">IFERROR(I89/F89,"")</f>
        <v/>
      </c>
      <c r="K89" s="8" t="str">
        <f aca="false">IF(F89=0,"",_xlfn.MINIFS(Closed_Deals!$R$2:$R$761,Closed_Deals!$B$2:$B$761,A89,Closed_Deals!$N$2:$N$761,"Won"))</f>
        <v/>
      </c>
      <c r="L89" s="8" t="str">
        <f aca="false">IF(F89=0,"",_xlfn.MAXIFS(Closed_Deals!$R$2:$R$761,Closed_Deals!$B$2:$B$761,A89,Closed_Deals!$N$2:$N$761,"Won"))</f>
        <v/>
      </c>
      <c r="M89" s="7" t="n">
        <f aca="false">COUNTIF(Open_Pipeline!$B$2:$B$151,A89)</f>
        <v>0</v>
      </c>
      <c r="N89" s="10" t="n">
        <f aca="false">SUMIF(Open_Pipeline!$B$2:$B$151,A89,Open_Pipeline!$M$2:$M$151)</f>
        <v>0</v>
      </c>
      <c r="O89" s="7" t="str">
        <f aca="true">IF(F89=0,"",TODAY()-L89)</f>
        <v/>
      </c>
      <c r="P89" s="7" t="str">
        <f aca="false">IF(F89&gt;=2,"Yes","No")</f>
        <v>No</v>
      </c>
      <c r="Q89" s="7" t="str">
        <f aca="false">IF(F89=0,"No Won Business",IF(M89&gt;0,"Active - In Pipeline",IF(O89&lt;=365,"Active",IF(O89&lt;=545,"At Risk","Churned"))))</f>
        <v>No Won Business</v>
      </c>
    </row>
    <row r="90" customFormat="false" ht="15" hidden="false" customHeight="false" outlineLevel="0" collapsed="false">
      <c r="A90" s="7" t="s">
        <v>982</v>
      </c>
      <c r="B90" s="7" t="s">
        <v>983</v>
      </c>
      <c r="C90" s="7" t="s">
        <v>135</v>
      </c>
      <c r="D90" s="7" t="s">
        <v>115</v>
      </c>
      <c r="E90" s="7" t="n">
        <f aca="false">COUNTIF(Closed_Deals!$B$2:$B$761,A90)</f>
        <v>2</v>
      </c>
      <c r="F90" s="7" t="n">
        <f aca="false">COUNTIFS(Closed_Deals!$B$2:$B$761,A90,Closed_Deals!$N$2:$N$761,"Won")</f>
        <v>1</v>
      </c>
      <c r="G90" s="7" t="n">
        <f aca="false">E90-F90</f>
        <v>1</v>
      </c>
      <c r="H90" s="11" t="n">
        <f aca="false">IFERROR(F90/E90,"")</f>
        <v>0.5</v>
      </c>
      <c r="I90" s="10" t="n">
        <f aca="false">SUMIFS(Closed_Deals!$M$2:$M$761,Closed_Deals!$B$2:$B$761,A90,Closed_Deals!$N$2:$N$761,"Won")</f>
        <v>98954.83</v>
      </c>
      <c r="J90" s="10" t="n">
        <f aca="false">IFERROR(I90/F90,"")</f>
        <v>98954.83</v>
      </c>
      <c r="K90" s="8" t="n">
        <f aca="false">IF(F90=0,"",_xlfn.MINIFS(Closed_Deals!$R$2:$R$761,Closed_Deals!$B$2:$B$761,A90,Closed_Deals!$N$2:$N$761,"Won"))</f>
        <v>46420</v>
      </c>
      <c r="L90" s="8" t="n">
        <f aca="false">IF(F90=0,"",_xlfn.MAXIFS(Closed_Deals!$R$2:$R$761,Closed_Deals!$B$2:$B$761,A90,Closed_Deals!$N$2:$N$761,"Won"))</f>
        <v>46420</v>
      </c>
      <c r="M90" s="7" t="n">
        <f aca="false">COUNTIF(Open_Pipeline!$B$2:$B$151,A90)</f>
        <v>0</v>
      </c>
      <c r="N90" s="10" t="n">
        <f aca="false">SUMIF(Open_Pipeline!$B$2:$B$151,A90,Open_Pipeline!$M$2:$M$151)</f>
        <v>0</v>
      </c>
      <c r="O90" s="7" t="n">
        <f aca="true">IF(F90=0,"",TODAY()-L90)</f>
        <v>-146</v>
      </c>
      <c r="P90" s="7" t="str">
        <f aca="false">IF(F90&gt;=2,"Yes","No")</f>
        <v>No</v>
      </c>
      <c r="Q90" s="7" t="str">
        <f aca="false">IF(F90=0,"No Won Business",IF(M90&gt;0,"Active - In Pipeline",IF(O90&lt;=365,"Active",IF(O90&lt;=545,"At Risk","Churned"))))</f>
        <v>Active</v>
      </c>
    </row>
    <row r="91" customFormat="false" ht="15" hidden="false" customHeight="false" outlineLevel="0" collapsed="false">
      <c r="A91" s="7" t="s">
        <v>799</v>
      </c>
      <c r="B91" s="7" t="s">
        <v>800</v>
      </c>
      <c r="C91" s="7" t="s">
        <v>195</v>
      </c>
      <c r="D91" s="7" t="s">
        <v>105</v>
      </c>
      <c r="E91" s="7" t="n">
        <f aca="false">COUNTIF(Closed_Deals!$B$2:$B$761,A91)</f>
        <v>2</v>
      </c>
      <c r="F91" s="7" t="n">
        <f aca="false">COUNTIFS(Closed_Deals!$B$2:$B$761,A91,Closed_Deals!$N$2:$N$761,"Won")</f>
        <v>1</v>
      </c>
      <c r="G91" s="7" t="n">
        <f aca="false">E91-F91</f>
        <v>1</v>
      </c>
      <c r="H91" s="11" t="n">
        <f aca="false">IFERROR(F91/E91,"")</f>
        <v>0.5</v>
      </c>
      <c r="I91" s="10" t="n">
        <f aca="false">SUMIFS(Closed_Deals!$M$2:$M$761,Closed_Deals!$B$2:$B$761,A91,Closed_Deals!$N$2:$N$761,"Won")</f>
        <v>358827.15</v>
      </c>
      <c r="J91" s="10" t="n">
        <f aca="false">IFERROR(I91/F91,"")</f>
        <v>358827.15</v>
      </c>
      <c r="K91" s="8" t="n">
        <f aca="false">IF(F91=0,"",_xlfn.MINIFS(Closed_Deals!$R$2:$R$761,Closed_Deals!$B$2:$B$761,A91,Closed_Deals!$N$2:$N$761,"Won"))</f>
        <v>46413</v>
      </c>
      <c r="L91" s="8" t="n">
        <f aca="false">IF(F91=0,"",_xlfn.MAXIFS(Closed_Deals!$R$2:$R$761,Closed_Deals!$B$2:$B$761,A91,Closed_Deals!$N$2:$N$761,"Won"))</f>
        <v>46413</v>
      </c>
      <c r="M91" s="7" t="n">
        <f aca="false">COUNTIF(Open_Pipeline!$B$2:$B$151,A91)</f>
        <v>0</v>
      </c>
      <c r="N91" s="10" t="n">
        <f aca="false">SUMIF(Open_Pipeline!$B$2:$B$151,A91,Open_Pipeline!$M$2:$M$151)</f>
        <v>0</v>
      </c>
      <c r="O91" s="7" t="n">
        <f aca="true">IF(F91=0,"",TODAY()-L91)</f>
        <v>-139</v>
      </c>
      <c r="P91" s="7" t="str">
        <f aca="false">IF(F91&gt;=2,"Yes","No")</f>
        <v>No</v>
      </c>
      <c r="Q91" s="7" t="str">
        <f aca="false">IF(F91=0,"No Won Business",IF(M91&gt;0,"Active - In Pipeline",IF(O91&lt;=365,"Active",IF(O91&lt;=545,"At Risk","Churned"))))</f>
        <v>Active</v>
      </c>
    </row>
    <row r="92" customFormat="false" ht="15" hidden="false" customHeight="false" outlineLevel="0" collapsed="false">
      <c r="A92" s="7" t="s">
        <v>613</v>
      </c>
      <c r="B92" s="7" t="s">
        <v>614</v>
      </c>
      <c r="C92" s="7" t="s">
        <v>114</v>
      </c>
      <c r="D92" s="7" t="s">
        <v>105</v>
      </c>
      <c r="E92" s="7" t="n">
        <f aca="false">COUNTIF(Closed_Deals!$B$2:$B$761,A92)</f>
        <v>1</v>
      </c>
      <c r="F92" s="7" t="n">
        <f aca="false">COUNTIFS(Closed_Deals!$B$2:$B$761,A92,Closed_Deals!$N$2:$N$761,"Won")</f>
        <v>0</v>
      </c>
      <c r="G92" s="7" t="n">
        <f aca="false">E92-F92</f>
        <v>1</v>
      </c>
      <c r="H92" s="11" t="n">
        <f aca="false">IFERROR(F92/E92,"")</f>
        <v>0</v>
      </c>
      <c r="I92" s="10" t="n">
        <f aca="false">SUMIFS(Closed_Deals!$M$2:$M$761,Closed_Deals!$B$2:$B$761,A92,Closed_Deals!$N$2:$N$761,"Won")</f>
        <v>0</v>
      </c>
      <c r="J92" s="10" t="str">
        <f aca="false">IFERROR(I92/F92,"")</f>
        <v/>
      </c>
      <c r="K92" s="8" t="str">
        <f aca="false">IF(F92=0,"",_xlfn.MINIFS(Closed_Deals!$R$2:$R$761,Closed_Deals!$B$2:$B$761,A92,Closed_Deals!$N$2:$N$761,"Won"))</f>
        <v/>
      </c>
      <c r="L92" s="8" t="str">
        <f aca="false">IF(F92=0,"",_xlfn.MAXIFS(Closed_Deals!$R$2:$R$761,Closed_Deals!$B$2:$B$761,A92,Closed_Deals!$N$2:$N$761,"Won"))</f>
        <v/>
      </c>
      <c r="M92" s="7" t="n">
        <f aca="false">COUNTIF(Open_Pipeline!$B$2:$B$151,A92)</f>
        <v>1</v>
      </c>
      <c r="N92" s="10" t="n">
        <f aca="false">SUMIF(Open_Pipeline!$B$2:$B$151,A92,Open_Pipeline!$M$2:$M$151)</f>
        <v>107091.88</v>
      </c>
      <c r="O92" s="7" t="str">
        <f aca="true">IF(F92=0,"",TODAY()-L92)</f>
        <v/>
      </c>
      <c r="P92" s="7" t="str">
        <f aca="false">IF(F92&gt;=2,"Yes","No")</f>
        <v>No</v>
      </c>
      <c r="Q92" s="7" t="str">
        <f aca="false">IF(F92=0,"No Won Business",IF(M92&gt;0,"Active - In Pipeline",IF(O92&lt;=365,"Active",IF(O92&lt;=545,"At Risk","Churned"))))</f>
        <v>No Won Business</v>
      </c>
    </row>
    <row r="93" customFormat="false" ht="15" hidden="false" customHeight="false" outlineLevel="0" collapsed="false">
      <c r="A93" s="7" t="s">
        <v>750</v>
      </c>
      <c r="B93" s="7" t="s">
        <v>751</v>
      </c>
      <c r="C93" s="7" t="s">
        <v>201</v>
      </c>
      <c r="D93" s="7" t="s">
        <v>115</v>
      </c>
      <c r="E93" s="7" t="n">
        <f aca="false">COUNTIF(Closed_Deals!$B$2:$B$761,A93)</f>
        <v>2</v>
      </c>
      <c r="F93" s="7" t="n">
        <f aca="false">COUNTIFS(Closed_Deals!$B$2:$B$761,A93,Closed_Deals!$N$2:$N$761,"Won")</f>
        <v>0</v>
      </c>
      <c r="G93" s="7" t="n">
        <f aca="false">E93-F93</f>
        <v>2</v>
      </c>
      <c r="H93" s="11" t="n">
        <f aca="false">IFERROR(F93/E93,"")</f>
        <v>0</v>
      </c>
      <c r="I93" s="10" t="n">
        <f aca="false">SUMIFS(Closed_Deals!$M$2:$M$761,Closed_Deals!$B$2:$B$761,A93,Closed_Deals!$N$2:$N$761,"Won")</f>
        <v>0</v>
      </c>
      <c r="J93" s="10" t="str">
        <f aca="false">IFERROR(I93/F93,"")</f>
        <v/>
      </c>
      <c r="K93" s="8" t="str">
        <f aca="false">IF(F93=0,"",_xlfn.MINIFS(Closed_Deals!$R$2:$R$761,Closed_Deals!$B$2:$B$761,A93,Closed_Deals!$N$2:$N$761,"Won"))</f>
        <v/>
      </c>
      <c r="L93" s="8" t="str">
        <f aca="false">IF(F93=0,"",_xlfn.MAXIFS(Closed_Deals!$R$2:$R$761,Closed_Deals!$B$2:$B$761,A93,Closed_Deals!$N$2:$N$761,"Won"))</f>
        <v/>
      </c>
      <c r="M93" s="7" t="n">
        <f aca="false">COUNTIF(Open_Pipeline!$B$2:$B$151,A93)</f>
        <v>0</v>
      </c>
      <c r="N93" s="10" t="n">
        <f aca="false">SUMIF(Open_Pipeline!$B$2:$B$151,A93,Open_Pipeline!$M$2:$M$151)</f>
        <v>0</v>
      </c>
      <c r="O93" s="7" t="str">
        <f aca="true">IF(F93=0,"",TODAY()-L93)</f>
        <v/>
      </c>
      <c r="P93" s="7" t="str">
        <f aca="false">IF(F93&gt;=2,"Yes","No")</f>
        <v>No</v>
      </c>
      <c r="Q93" s="7" t="str">
        <f aca="false">IF(F93=0,"No Won Business",IF(M93&gt;0,"Active - In Pipeline",IF(O93&lt;=365,"Active",IF(O93&lt;=545,"At Risk","Churned"))))</f>
        <v>No Won Business</v>
      </c>
    </row>
    <row r="94" customFormat="false" ht="15" hidden="false" customHeight="false" outlineLevel="0" collapsed="false">
      <c r="A94" s="7" t="s">
        <v>447</v>
      </c>
      <c r="B94" s="7" t="s">
        <v>448</v>
      </c>
      <c r="C94" s="7" t="s">
        <v>93</v>
      </c>
      <c r="D94" s="7" t="s">
        <v>115</v>
      </c>
      <c r="E94" s="7" t="n">
        <f aca="false">COUNTIF(Closed_Deals!$B$2:$B$761,A94)</f>
        <v>4</v>
      </c>
      <c r="F94" s="7" t="n">
        <f aca="false">COUNTIFS(Closed_Deals!$B$2:$B$761,A94,Closed_Deals!$N$2:$N$761,"Won")</f>
        <v>0</v>
      </c>
      <c r="G94" s="7" t="n">
        <f aca="false">E94-F94</f>
        <v>4</v>
      </c>
      <c r="H94" s="11" t="n">
        <f aca="false">IFERROR(F94/E94,"")</f>
        <v>0</v>
      </c>
      <c r="I94" s="10" t="n">
        <f aca="false">SUMIFS(Closed_Deals!$M$2:$M$761,Closed_Deals!$B$2:$B$761,A94,Closed_Deals!$N$2:$N$761,"Won")</f>
        <v>0</v>
      </c>
      <c r="J94" s="10" t="str">
        <f aca="false">IFERROR(I94/F94,"")</f>
        <v/>
      </c>
      <c r="K94" s="8" t="str">
        <f aca="false">IF(F94=0,"",_xlfn.MINIFS(Closed_Deals!$R$2:$R$761,Closed_Deals!$B$2:$B$761,A94,Closed_Deals!$N$2:$N$761,"Won"))</f>
        <v/>
      </c>
      <c r="L94" s="8" t="str">
        <f aca="false">IF(F94=0,"",_xlfn.MAXIFS(Closed_Deals!$R$2:$R$761,Closed_Deals!$B$2:$B$761,A94,Closed_Deals!$N$2:$N$761,"Won"))</f>
        <v/>
      </c>
      <c r="M94" s="7" t="n">
        <f aca="false">COUNTIF(Open_Pipeline!$B$2:$B$151,A94)</f>
        <v>2</v>
      </c>
      <c r="N94" s="10" t="n">
        <f aca="false">SUMIF(Open_Pipeline!$B$2:$B$151,A94,Open_Pipeline!$M$2:$M$151)</f>
        <v>338635</v>
      </c>
      <c r="O94" s="7" t="str">
        <f aca="true">IF(F94=0,"",TODAY()-L94)</f>
        <v/>
      </c>
      <c r="P94" s="7" t="str">
        <f aca="false">IF(F94&gt;=2,"Yes","No")</f>
        <v>No</v>
      </c>
      <c r="Q94" s="7" t="str">
        <f aca="false">IF(F94=0,"No Won Business",IF(M94&gt;0,"Active - In Pipeline",IF(O94&lt;=365,"Active",IF(O94&lt;=545,"At Risk","Churned"))))</f>
        <v>No Won Business</v>
      </c>
    </row>
    <row r="95" customFormat="false" ht="15" hidden="false" customHeight="false" outlineLevel="0" collapsed="false">
      <c r="A95" s="7" t="s">
        <v>501</v>
      </c>
      <c r="B95" s="7" t="s">
        <v>502</v>
      </c>
      <c r="C95" s="7" t="s">
        <v>135</v>
      </c>
      <c r="D95" s="7" t="s">
        <v>115</v>
      </c>
      <c r="E95" s="7" t="n">
        <f aca="false">COUNTIF(Closed_Deals!$B$2:$B$761,A95)</f>
        <v>3</v>
      </c>
      <c r="F95" s="7" t="n">
        <f aca="false">COUNTIFS(Closed_Deals!$B$2:$B$761,A95,Closed_Deals!$N$2:$N$761,"Won")</f>
        <v>0</v>
      </c>
      <c r="G95" s="7" t="n">
        <f aca="false">E95-F95</f>
        <v>3</v>
      </c>
      <c r="H95" s="11" t="n">
        <f aca="false">IFERROR(F95/E95,"")</f>
        <v>0</v>
      </c>
      <c r="I95" s="10" t="n">
        <f aca="false">SUMIFS(Closed_Deals!$M$2:$M$761,Closed_Deals!$B$2:$B$761,A95,Closed_Deals!$N$2:$N$761,"Won")</f>
        <v>0</v>
      </c>
      <c r="J95" s="10" t="str">
        <f aca="false">IFERROR(I95/F95,"")</f>
        <v/>
      </c>
      <c r="K95" s="8" t="str">
        <f aca="false">IF(F95=0,"",_xlfn.MINIFS(Closed_Deals!$R$2:$R$761,Closed_Deals!$B$2:$B$761,A95,Closed_Deals!$N$2:$N$761,"Won"))</f>
        <v/>
      </c>
      <c r="L95" s="8" t="str">
        <f aca="false">IF(F95=0,"",_xlfn.MAXIFS(Closed_Deals!$R$2:$R$761,Closed_Deals!$B$2:$B$761,A95,Closed_Deals!$N$2:$N$761,"Won"))</f>
        <v/>
      </c>
      <c r="M95" s="7" t="n">
        <f aca="false">COUNTIF(Open_Pipeline!$B$2:$B$151,A95)</f>
        <v>0</v>
      </c>
      <c r="N95" s="10" t="n">
        <f aca="false">SUMIF(Open_Pipeline!$B$2:$B$151,A95,Open_Pipeline!$M$2:$M$151)</f>
        <v>0</v>
      </c>
      <c r="O95" s="7" t="str">
        <f aca="true">IF(F95=0,"",TODAY()-L95)</f>
        <v/>
      </c>
      <c r="P95" s="7" t="str">
        <f aca="false">IF(F95&gt;=2,"Yes","No")</f>
        <v>No</v>
      </c>
      <c r="Q95" s="7" t="str">
        <f aca="false">IF(F95=0,"No Won Business",IF(M95&gt;0,"Active - In Pipeline",IF(O95&lt;=365,"Active",IF(O95&lt;=545,"At Risk","Churned"))))</f>
        <v>No Won Business</v>
      </c>
    </row>
    <row r="96" customFormat="false" ht="15" hidden="false" customHeight="false" outlineLevel="0" collapsed="false">
      <c r="A96" s="7" t="s">
        <v>427</v>
      </c>
      <c r="B96" s="7" t="s">
        <v>428</v>
      </c>
      <c r="C96" s="7" t="s">
        <v>151</v>
      </c>
      <c r="D96" s="7" t="s">
        <v>94</v>
      </c>
      <c r="E96" s="7" t="n">
        <f aca="false">COUNTIF(Closed_Deals!$B$2:$B$761,A96)</f>
        <v>10</v>
      </c>
      <c r="F96" s="7" t="n">
        <f aca="false">COUNTIFS(Closed_Deals!$B$2:$B$761,A96,Closed_Deals!$N$2:$N$761,"Won")</f>
        <v>2</v>
      </c>
      <c r="G96" s="7" t="n">
        <f aca="false">E96-F96</f>
        <v>8</v>
      </c>
      <c r="H96" s="11" t="n">
        <f aca="false">IFERROR(F96/E96,"")</f>
        <v>0.2</v>
      </c>
      <c r="I96" s="10" t="n">
        <f aca="false">SUMIFS(Closed_Deals!$M$2:$M$761,Closed_Deals!$B$2:$B$761,A96,Closed_Deals!$N$2:$N$761,"Won")</f>
        <v>157988.34</v>
      </c>
      <c r="J96" s="10" t="n">
        <f aca="false">IFERROR(I96/F96,"")</f>
        <v>78994.17</v>
      </c>
      <c r="K96" s="8" t="n">
        <f aca="false">IF(F96=0,"",_xlfn.MINIFS(Closed_Deals!$R$2:$R$761,Closed_Deals!$B$2:$B$761,A96,Closed_Deals!$N$2:$N$761,"Won"))</f>
        <v>45612</v>
      </c>
      <c r="L96" s="8" t="n">
        <f aca="false">IF(F96=0,"",_xlfn.MAXIFS(Closed_Deals!$R$2:$R$761,Closed_Deals!$B$2:$B$761,A96,Closed_Deals!$N$2:$N$761,"Won"))</f>
        <v>46196</v>
      </c>
      <c r="M96" s="7" t="n">
        <f aca="false">COUNTIF(Open_Pipeline!$B$2:$B$151,A96)</f>
        <v>0</v>
      </c>
      <c r="N96" s="10" t="n">
        <f aca="false">SUMIF(Open_Pipeline!$B$2:$B$151,A96,Open_Pipeline!$M$2:$M$151)</f>
        <v>0</v>
      </c>
      <c r="O96" s="7" t="n">
        <f aca="true">IF(F96=0,"",TODAY()-L96)</f>
        <v>78</v>
      </c>
      <c r="P96" s="7" t="str">
        <f aca="false">IF(F96&gt;=2,"Yes","No")</f>
        <v>Yes</v>
      </c>
      <c r="Q96" s="7" t="str">
        <f aca="false">IF(F96=0,"No Won Business",IF(M96&gt;0,"Active - In Pipeline",IF(O96&lt;=365,"Active",IF(O96&lt;=545,"At Risk","Churned"))))</f>
        <v>Active</v>
      </c>
    </row>
    <row r="97" customFormat="false" ht="15" hidden="false" customHeight="false" outlineLevel="0" collapsed="false">
      <c r="A97" s="7" t="s">
        <v>481</v>
      </c>
      <c r="B97" s="7" t="s">
        <v>482</v>
      </c>
      <c r="C97" s="7" t="s">
        <v>114</v>
      </c>
      <c r="D97" s="7" t="s">
        <v>162</v>
      </c>
      <c r="E97" s="7" t="n">
        <f aca="false">COUNTIF(Closed_Deals!$B$2:$B$761,A97)</f>
        <v>2</v>
      </c>
      <c r="F97" s="7" t="n">
        <f aca="false">COUNTIFS(Closed_Deals!$B$2:$B$761,A97,Closed_Deals!$N$2:$N$761,"Won")</f>
        <v>1</v>
      </c>
      <c r="G97" s="7" t="n">
        <f aca="false">E97-F97</f>
        <v>1</v>
      </c>
      <c r="H97" s="11" t="n">
        <f aca="false">IFERROR(F97/E97,"")</f>
        <v>0.5</v>
      </c>
      <c r="I97" s="10" t="n">
        <f aca="false">SUMIFS(Closed_Deals!$M$2:$M$761,Closed_Deals!$B$2:$B$761,A97,Closed_Deals!$N$2:$N$761,"Won")</f>
        <v>99927.45</v>
      </c>
      <c r="J97" s="10" t="n">
        <f aca="false">IFERROR(I97/F97,"")</f>
        <v>99927.45</v>
      </c>
      <c r="K97" s="8" t="n">
        <f aca="false">IF(F97=0,"",_xlfn.MINIFS(Closed_Deals!$R$2:$R$761,Closed_Deals!$B$2:$B$761,A97,Closed_Deals!$N$2:$N$761,"Won"))</f>
        <v>45914</v>
      </c>
      <c r="L97" s="8" t="n">
        <f aca="false">IF(F97=0,"",_xlfn.MAXIFS(Closed_Deals!$R$2:$R$761,Closed_Deals!$B$2:$B$761,A97,Closed_Deals!$N$2:$N$761,"Won"))</f>
        <v>45914</v>
      </c>
      <c r="M97" s="7" t="n">
        <f aca="false">COUNTIF(Open_Pipeline!$B$2:$B$151,A97)</f>
        <v>0</v>
      </c>
      <c r="N97" s="10" t="n">
        <f aca="false">SUMIF(Open_Pipeline!$B$2:$B$151,A97,Open_Pipeline!$M$2:$M$151)</f>
        <v>0</v>
      </c>
      <c r="O97" s="7" t="n">
        <f aca="true">IF(F97=0,"",TODAY()-L97)</f>
        <v>360</v>
      </c>
      <c r="P97" s="7" t="str">
        <f aca="false">IF(F97&gt;=2,"Yes","No")</f>
        <v>No</v>
      </c>
      <c r="Q97" s="7" t="str">
        <f aca="false">IF(F97=0,"No Won Business",IF(M97&gt;0,"Active - In Pipeline",IF(O97&lt;=365,"Active",IF(O97&lt;=545,"At Risk","Churned"))))</f>
        <v>Active</v>
      </c>
    </row>
    <row r="98" customFormat="false" ht="15" hidden="false" customHeight="false" outlineLevel="0" collapsed="false">
      <c r="A98" s="7" t="s">
        <v>467</v>
      </c>
      <c r="B98" s="7" t="s">
        <v>468</v>
      </c>
      <c r="C98" s="7" t="s">
        <v>93</v>
      </c>
      <c r="D98" s="7" t="s">
        <v>162</v>
      </c>
      <c r="E98" s="7" t="n">
        <f aca="false">COUNTIF(Closed_Deals!$B$2:$B$761,A98)</f>
        <v>3</v>
      </c>
      <c r="F98" s="7" t="n">
        <f aca="false">COUNTIFS(Closed_Deals!$B$2:$B$761,A98,Closed_Deals!$N$2:$N$761,"Won")</f>
        <v>0</v>
      </c>
      <c r="G98" s="7" t="n">
        <f aca="false">E98-F98</f>
        <v>3</v>
      </c>
      <c r="H98" s="11" t="n">
        <f aca="false">IFERROR(F98/E98,"")</f>
        <v>0</v>
      </c>
      <c r="I98" s="10" t="n">
        <f aca="false">SUMIFS(Closed_Deals!$M$2:$M$761,Closed_Deals!$B$2:$B$761,A98,Closed_Deals!$N$2:$N$761,"Won")</f>
        <v>0</v>
      </c>
      <c r="J98" s="10" t="str">
        <f aca="false">IFERROR(I98/F98,"")</f>
        <v/>
      </c>
      <c r="K98" s="8" t="str">
        <f aca="false">IF(F98=0,"",_xlfn.MINIFS(Closed_Deals!$R$2:$R$761,Closed_Deals!$B$2:$B$761,A98,Closed_Deals!$N$2:$N$761,"Won"))</f>
        <v/>
      </c>
      <c r="L98" s="8" t="str">
        <f aca="false">IF(F98=0,"",_xlfn.MAXIFS(Closed_Deals!$R$2:$R$761,Closed_Deals!$B$2:$B$761,A98,Closed_Deals!$N$2:$N$761,"Won"))</f>
        <v/>
      </c>
      <c r="M98" s="7" t="n">
        <f aca="false">COUNTIF(Open_Pipeline!$B$2:$B$151,A98)</f>
        <v>0</v>
      </c>
      <c r="N98" s="10" t="n">
        <f aca="false">SUMIF(Open_Pipeline!$B$2:$B$151,A98,Open_Pipeline!$M$2:$M$151)</f>
        <v>0</v>
      </c>
      <c r="O98" s="7" t="str">
        <f aca="true">IF(F98=0,"",TODAY()-L98)</f>
        <v/>
      </c>
      <c r="P98" s="7" t="str">
        <f aca="false">IF(F98&gt;=2,"Yes","No")</f>
        <v>No</v>
      </c>
      <c r="Q98" s="7" t="str">
        <f aca="false">IF(F98=0,"No Won Business",IF(M98&gt;0,"Active - In Pipeline",IF(O98&lt;=365,"Active",IF(O98&lt;=545,"At Risk","Churned"))))</f>
        <v>No Won Business</v>
      </c>
    </row>
    <row r="99" customFormat="false" ht="15" hidden="false" customHeight="false" outlineLevel="0" collapsed="false">
      <c r="A99" s="7" t="s">
        <v>1536</v>
      </c>
      <c r="B99" s="7" t="s">
        <v>1537</v>
      </c>
      <c r="C99" s="7" t="s">
        <v>114</v>
      </c>
      <c r="D99" s="7" t="s">
        <v>94</v>
      </c>
      <c r="E99" s="7" t="n">
        <f aca="false">COUNTIF(Closed_Deals!$B$2:$B$761,A99)</f>
        <v>0</v>
      </c>
      <c r="F99" s="7" t="n">
        <f aca="false">COUNTIFS(Closed_Deals!$B$2:$B$761,A99,Closed_Deals!$N$2:$N$761,"Won")</f>
        <v>0</v>
      </c>
      <c r="G99" s="7" t="n">
        <f aca="false">E99-F99</f>
        <v>0</v>
      </c>
      <c r="H99" s="11" t="str">
        <f aca="false">IFERROR(F99/E99,"")</f>
        <v/>
      </c>
      <c r="I99" s="10" t="n">
        <f aca="false">SUMIFS(Closed_Deals!$M$2:$M$761,Closed_Deals!$B$2:$B$761,A99,Closed_Deals!$N$2:$N$761,"Won")</f>
        <v>0</v>
      </c>
      <c r="J99" s="10" t="str">
        <f aca="false">IFERROR(I99/F99,"")</f>
        <v/>
      </c>
      <c r="K99" s="8" t="str">
        <f aca="false">IF(F99=0,"",_xlfn.MINIFS(Closed_Deals!$R$2:$R$761,Closed_Deals!$B$2:$B$761,A99,Closed_Deals!$N$2:$N$761,"Won"))</f>
        <v/>
      </c>
      <c r="L99" s="8" t="str">
        <f aca="false">IF(F99=0,"",_xlfn.MAXIFS(Closed_Deals!$R$2:$R$761,Closed_Deals!$B$2:$B$761,A99,Closed_Deals!$N$2:$N$761,"Won"))</f>
        <v/>
      </c>
      <c r="M99" s="7" t="n">
        <f aca="false">COUNTIF(Open_Pipeline!$B$2:$B$151,A99)</f>
        <v>0</v>
      </c>
      <c r="N99" s="10" t="n">
        <f aca="false">SUMIF(Open_Pipeline!$B$2:$B$151,A99,Open_Pipeline!$M$2:$M$151)</f>
        <v>0</v>
      </c>
      <c r="O99" s="7" t="str">
        <f aca="true">IF(F99=0,"",TODAY()-L99)</f>
        <v/>
      </c>
      <c r="P99" s="7" t="str">
        <f aca="false">IF(F99&gt;=2,"Yes","No")</f>
        <v>No</v>
      </c>
      <c r="Q99" s="7" t="str">
        <f aca="false">IF(F99=0,"No Won Business",IF(M99&gt;0,"Active - In Pipeline",IF(O99&lt;=365,"Active",IF(O99&lt;=545,"At Risk","Churned"))))</f>
        <v>No Won Business</v>
      </c>
    </row>
    <row r="100" customFormat="false" ht="15" hidden="false" customHeight="false" outlineLevel="0" collapsed="false">
      <c r="A100" s="7" t="s">
        <v>211</v>
      </c>
      <c r="B100" s="7" t="s">
        <v>212</v>
      </c>
      <c r="C100" s="7" t="s">
        <v>201</v>
      </c>
      <c r="D100" s="7" t="s">
        <v>105</v>
      </c>
      <c r="E100" s="7" t="n">
        <f aca="false">COUNTIF(Closed_Deals!$B$2:$B$761,A100)</f>
        <v>6</v>
      </c>
      <c r="F100" s="7" t="n">
        <f aca="false">COUNTIFS(Closed_Deals!$B$2:$B$761,A100,Closed_Deals!$N$2:$N$761,"Won")</f>
        <v>2</v>
      </c>
      <c r="G100" s="7" t="n">
        <f aca="false">E100-F100</f>
        <v>4</v>
      </c>
      <c r="H100" s="11" t="n">
        <f aca="false">IFERROR(F100/E100,"")</f>
        <v>0.333333333333333</v>
      </c>
      <c r="I100" s="10" t="n">
        <f aca="false">SUMIFS(Closed_Deals!$M$2:$M$761,Closed_Deals!$B$2:$B$761,A100,Closed_Deals!$N$2:$N$761,"Won")</f>
        <v>182807.44</v>
      </c>
      <c r="J100" s="10" t="n">
        <f aca="false">IFERROR(I100/F100,"")</f>
        <v>91403.72</v>
      </c>
      <c r="K100" s="8" t="n">
        <f aca="false">IF(F100=0,"",_xlfn.MINIFS(Closed_Deals!$R$2:$R$761,Closed_Deals!$B$2:$B$761,A100,Closed_Deals!$N$2:$N$761,"Won"))</f>
        <v>45368</v>
      </c>
      <c r="L100" s="8" t="n">
        <f aca="false">IF(F100=0,"",_xlfn.MAXIFS(Closed_Deals!$R$2:$R$761,Closed_Deals!$B$2:$B$761,A100,Closed_Deals!$N$2:$N$761,"Won"))</f>
        <v>45863</v>
      </c>
      <c r="M100" s="7" t="n">
        <f aca="false">COUNTIF(Open_Pipeline!$B$2:$B$151,A100)</f>
        <v>2</v>
      </c>
      <c r="N100" s="10" t="n">
        <f aca="false">SUMIF(Open_Pipeline!$B$2:$B$151,A100,Open_Pipeline!$M$2:$M$151)</f>
        <v>146453.65</v>
      </c>
      <c r="O100" s="7" t="n">
        <f aca="true">IF(F100=0,"",TODAY()-L100)</f>
        <v>411</v>
      </c>
      <c r="P100" s="7" t="str">
        <f aca="false">IF(F100&gt;=2,"Yes","No")</f>
        <v>Yes</v>
      </c>
      <c r="Q100" s="7" t="str">
        <f aca="false">IF(F100=0,"No Won Business",IF(M100&gt;0,"Active - In Pipeline",IF(O100&lt;=365,"Active",IF(O100&lt;=545,"At Risk","Churned"))))</f>
        <v>Active - In Pipeline</v>
      </c>
    </row>
    <row r="101" customFormat="false" ht="15" hidden="false" customHeight="false" outlineLevel="0" collapsed="false">
      <c r="A101" s="7" t="s">
        <v>609</v>
      </c>
      <c r="B101" s="7" t="s">
        <v>610</v>
      </c>
      <c r="C101" s="7" t="s">
        <v>114</v>
      </c>
      <c r="D101" s="7" t="s">
        <v>94</v>
      </c>
      <c r="E101" s="7" t="n">
        <f aca="false">COUNTIF(Closed_Deals!$B$2:$B$761,A101)</f>
        <v>1</v>
      </c>
      <c r="F101" s="7" t="n">
        <f aca="false">COUNTIFS(Closed_Deals!$B$2:$B$761,A101,Closed_Deals!$N$2:$N$761,"Won")</f>
        <v>1</v>
      </c>
      <c r="G101" s="7" t="n">
        <f aca="false">E101-F101</f>
        <v>0</v>
      </c>
      <c r="H101" s="11" t="n">
        <f aca="false">IFERROR(F101/E101,"")</f>
        <v>1</v>
      </c>
      <c r="I101" s="10" t="n">
        <f aca="false">SUMIFS(Closed_Deals!$M$2:$M$761,Closed_Deals!$B$2:$B$761,A101,Closed_Deals!$N$2:$N$761,"Won")</f>
        <v>78781.28</v>
      </c>
      <c r="J101" s="10" t="n">
        <f aca="false">IFERROR(I101/F101,"")</f>
        <v>78781.28</v>
      </c>
      <c r="K101" s="8" t="n">
        <f aca="false">IF(F101=0,"",_xlfn.MINIFS(Closed_Deals!$R$2:$R$761,Closed_Deals!$B$2:$B$761,A101,Closed_Deals!$N$2:$N$761,"Won"))</f>
        <v>45722</v>
      </c>
      <c r="L101" s="8" t="n">
        <f aca="false">IF(F101=0,"",_xlfn.MAXIFS(Closed_Deals!$R$2:$R$761,Closed_Deals!$B$2:$B$761,A101,Closed_Deals!$N$2:$N$761,"Won"))</f>
        <v>45722</v>
      </c>
      <c r="M101" s="7" t="n">
        <f aca="false">COUNTIF(Open_Pipeline!$B$2:$B$151,A101)</f>
        <v>0</v>
      </c>
      <c r="N101" s="10" t="n">
        <f aca="false">SUMIF(Open_Pipeline!$B$2:$B$151,A101,Open_Pipeline!$M$2:$M$151)</f>
        <v>0</v>
      </c>
      <c r="O101" s="7" t="n">
        <f aca="true">IF(F101=0,"",TODAY()-L101)</f>
        <v>552</v>
      </c>
      <c r="P101" s="7" t="str">
        <f aca="false">IF(F101&gt;=2,"Yes","No")</f>
        <v>No</v>
      </c>
      <c r="Q101" s="7" t="str">
        <f aca="false">IF(F101=0,"No Won Business",IF(M101&gt;0,"Active - In Pipeline",IF(O101&lt;=365,"Active",IF(O101&lt;=545,"At Risk","Churned"))))</f>
        <v>Churned</v>
      </c>
    </row>
    <row r="102" customFormat="false" ht="15" hidden="false" customHeight="false" outlineLevel="0" collapsed="false">
      <c r="A102" s="7" t="s">
        <v>665</v>
      </c>
      <c r="B102" s="7" t="s">
        <v>666</v>
      </c>
      <c r="C102" s="7" t="s">
        <v>93</v>
      </c>
      <c r="D102" s="7" t="s">
        <v>94</v>
      </c>
      <c r="E102" s="7" t="n">
        <f aca="false">COUNTIF(Closed_Deals!$B$2:$B$761,A102)</f>
        <v>1</v>
      </c>
      <c r="F102" s="7" t="n">
        <f aca="false">COUNTIFS(Closed_Deals!$B$2:$B$761,A102,Closed_Deals!$N$2:$N$761,"Won")</f>
        <v>0</v>
      </c>
      <c r="G102" s="7" t="n">
        <f aca="false">E102-F102</f>
        <v>1</v>
      </c>
      <c r="H102" s="11" t="n">
        <f aca="false">IFERROR(F102/E102,"")</f>
        <v>0</v>
      </c>
      <c r="I102" s="10" t="n">
        <f aca="false">SUMIFS(Closed_Deals!$M$2:$M$761,Closed_Deals!$B$2:$B$761,A102,Closed_Deals!$N$2:$N$761,"Won")</f>
        <v>0</v>
      </c>
      <c r="J102" s="10" t="str">
        <f aca="false">IFERROR(I102/F102,"")</f>
        <v/>
      </c>
      <c r="K102" s="8" t="str">
        <f aca="false">IF(F102=0,"",_xlfn.MINIFS(Closed_Deals!$R$2:$R$761,Closed_Deals!$B$2:$B$761,A102,Closed_Deals!$N$2:$N$761,"Won"))</f>
        <v/>
      </c>
      <c r="L102" s="8" t="str">
        <f aca="false">IF(F102=0,"",_xlfn.MAXIFS(Closed_Deals!$R$2:$R$761,Closed_Deals!$B$2:$B$761,A102,Closed_Deals!$N$2:$N$761,"Won"))</f>
        <v/>
      </c>
      <c r="M102" s="7" t="n">
        <f aca="false">COUNTIF(Open_Pipeline!$B$2:$B$151,A102)</f>
        <v>1</v>
      </c>
      <c r="N102" s="10" t="n">
        <f aca="false">SUMIF(Open_Pipeline!$B$2:$B$151,A102,Open_Pipeline!$M$2:$M$151)</f>
        <v>65645.74</v>
      </c>
      <c r="O102" s="7" t="str">
        <f aca="true">IF(F102=0,"",TODAY()-L102)</f>
        <v/>
      </c>
      <c r="P102" s="7" t="str">
        <f aca="false">IF(F102&gt;=2,"Yes","No")</f>
        <v>No</v>
      </c>
      <c r="Q102" s="7" t="str">
        <f aca="false">IF(F102=0,"No Won Business",IF(M102&gt;0,"Active - In Pipeline",IF(O102&lt;=365,"Active",IF(O102&lt;=545,"At Risk","Churned"))))</f>
        <v>No Won Business</v>
      </c>
    </row>
    <row r="103" customFormat="false" ht="15" hidden="false" customHeight="false" outlineLevel="0" collapsed="false">
      <c r="A103" s="7" t="s">
        <v>347</v>
      </c>
      <c r="B103" s="7" t="s">
        <v>348</v>
      </c>
      <c r="C103" s="7" t="s">
        <v>151</v>
      </c>
      <c r="D103" s="7" t="s">
        <v>94</v>
      </c>
      <c r="E103" s="7" t="n">
        <f aca="false">COUNTIF(Closed_Deals!$B$2:$B$761,A103)</f>
        <v>6</v>
      </c>
      <c r="F103" s="7" t="n">
        <f aca="false">COUNTIFS(Closed_Deals!$B$2:$B$761,A103,Closed_Deals!$N$2:$N$761,"Won")</f>
        <v>1</v>
      </c>
      <c r="G103" s="7" t="n">
        <f aca="false">E103-F103</f>
        <v>5</v>
      </c>
      <c r="H103" s="11" t="n">
        <f aca="false">IFERROR(F103/E103,"")</f>
        <v>0.166666666666667</v>
      </c>
      <c r="I103" s="10" t="n">
        <f aca="false">SUMIFS(Closed_Deals!$M$2:$M$761,Closed_Deals!$B$2:$B$761,A103,Closed_Deals!$N$2:$N$761,"Won")</f>
        <v>165002.37</v>
      </c>
      <c r="J103" s="10" t="n">
        <f aca="false">IFERROR(I103/F103,"")</f>
        <v>165002.37</v>
      </c>
      <c r="K103" s="8" t="n">
        <f aca="false">IF(F103=0,"",_xlfn.MINIFS(Closed_Deals!$R$2:$R$761,Closed_Deals!$B$2:$B$761,A103,Closed_Deals!$N$2:$N$761,"Won"))</f>
        <v>45966</v>
      </c>
      <c r="L103" s="8" t="n">
        <f aca="false">IF(F103=0,"",_xlfn.MAXIFS(Closed_Deals!$R$2:$R$761,Closed_Deals!$B$2:$B$761,A103,Closed_Deals!$N$2:$N$761,"Won"))</f>
        <v>45966</v>
      </c>
      <c r="M103" s="7" t="n">
        <f aca="false">COUNTIF(Open_Pipeline!$B$2:$B$151,A103)</f>
        <v>0</v>
      </c>
      <c r="N103" s="10" t="n">
        <f aca="false">SUMIF(Open_Pipeline!$B$2:$B$151,A103,Open_Pipeline!$M$2:$M$151)</f>
        <v>0</v>
      </c>
      <c r="O103" s="7" t="n">
        <f aca="true">IF(F103=0,"",TODAY()-L103)</f>
        <v>308</v>
      </c>
      <c r="P103" s="7" t="str">
        <f aca="false">IF(F103&gt;=2,"Yes","No")</f>
        <v>No</v>
      </c>
      <c r="Q103" s="7" t="str">
        <f aca="false">IF(F103=0,"No Won Business",IF(M103&gt;0,"Active - In Pipeline",IF(O103&lt;=365,"Active",IF(O103&lt;=545,"At Risk","Churned"))))</f>
        <v>Active</v>
      </c>
    </row>
    <row r="104" customFormat="false" ht="15" hidden="false" customHeight="false" outlineLevel="0" collapsed="false">
      <c r="A104" s="7" t="s">
        <v>250</v>
      </c>
      <c r="B104" s="7" t="s">
        <v>251</v>
      </c>
      <c r="C104" s="7" t="s">
        <v>195</v>
      </c>
      <c r="D104" s="7" t="s">
        <v>105</v>
      </c>
      <c r="E104" s="7" t="n">
        <f aca="false">COUNTIF(Closed_Deals!$B$2:$B$761,A104)</f>
        <v>14</v>
      </c>
      <c r="F104" s="7" t="n">
        <f aca="false">COUNTIFS(Closed_Deals!$B$2:$B$761,A104,Closed_Deals!$N$2:$N$761,"Won")</f>
        <v>7</v>
      </c>
      <c r="G104" s="7" t="n">
        <f aca="false">E104-F104</f>
        <v>7</v>
      </c>
      <c r="H104" s="11" t="n">
        <f aca="false">IFERROR(F104/E104,"")</f>
        <v>0.5</v>
      </c>
      <c r="I104" s="10" t="n">
        <f aca="false">SUMIFS(Closed_Deals!$M$2:$M$761,Closed_Deals!$B$2:$B$761,A104,Closed_Deals!$N$2:$N$761,"Won")</f>
        <v>716518.31</v>
      </c>
      <c r="J104" s="10" t="n">
        <f aca="false">IFERROR(I104/F104,"")</f>
        <v>102359.758571429</v>
      </c>
      <c r="K104" s="8" t="n">
        <f aca="false">IF(F104=0,"",_xlfn.MINIFS(Closed_Deals!$R$2:$R$761,Closed_Deals!$B$2:$B$761,A104,Closed_Deals!$N$2:$N$761,"Won"))</f>
        <v>45359</v>
      </c>
      <c r="L104" s="8" t="n">
        <f aca="false">IF(F104=0,"",_xlfn.MAXIFS(Closed_Deals!$R$2:$R$761,Closed_Deals!$B$2:$B$761,A104,Closed_Deals!$N$2:$N$761,"Won"))</f>
        <v>46273</v>
      </c>
      <c r="M104" s="7" t="n">
        <f aca="false">COUNTIF(Open_Pipeline!$B$2:$B$151,A104)</f>
        <v>2</v>
      </c>
      <c r="N104" s="10" t="n">
        <f aca="false">SUMIF(Open_Pipeline!$B$2:$B$151,A104,Open_Pipeline!$M$2:$M$151)</f>
        <v>243817.58</v>
      </c>
      <c r="O104" s="7" t="n">
        <f aca="true">IF(F104=0,"",TODAY()-L104)</f>
        <v>1</v>
      </c>
      <c r="P104" s="7" t="str">
        <f aca="false">IF(F104&gt;=2,"Yes","No")</f>
        <v>Yes</v>
      </c>
      <c r="Q104" s="7" t="str">
        <f aca="false">IF(F104=0,"No Won Business",IF(M104&gt;0,"Active - In Pipeline",IF(O104&lt;=365,"Active",IF(O104&lt;=545,"At Risk","Churned"))))</f>
        <v>Active - In Pipeline</v>
      </c>
    </row>
    <row r="105" customFormat="false" ht="15" hidden="false" customHeight="false" outlineLevel="0" collapsed="false">
      <c r="A105" s="7" t="s">
        <v>886</v>
      </c>
      <c r="B105" s="7" t="s">
        <v>887</v>
      </c>
      <c r="C105" s="7" t="s">
        <v>104</v>
      </c>
      <c r="D105" s="7" t="s">
        <v>115</v>
      </c>
      <c r="E105" s="7" t="n">
        <f aca="false">COUNTIF(Closed_Deals!$B$2:$B$761,A105)</f>
        <v>1</v>
      </c>
      <c r="F105" s="7" t="n">
        <f aca="false">COUNTIFS(Closed_Deals!$B$2:$B$761,A105,Closed_Deals!$N$2:$N$761,"Won")</f>
        <v>0</v>
      </c>
      <c r="G105" s="7" t="n">
        <f aca="false">E105-F105</f>
        <v>1</v>
      </c>
      <c r="H105" s="11" t="n">
        <f aca="false">IFERROR(F105/E105,"")</f>
        <v>0</v>
      </c>
      <c r="I105" s="10" t="n">
        <f aca="false">SUMIFS(Closed_Deals!$M$2:$M$761,Closed_Deals!$B$2:$B$761,A105,Closed_Deals!$N$2:$N$761,"Won")</f>
        <v>0</v>
      </c>
      <c r="J105" s="10" t="str">
        <f aca="false">IFERROR(I105/F105,"")</f>
        <v/>
      </c>
      <c r="K105" s="8" t="str">
        <f aca="false">IF(F105=0,"",_xlfn.MINIFS(Closed_Deals!$R$2:$R$761,Closed_Deals!$B$2:$B$761,A105,Closed_Deals!$N$2:$N$761,"Won"))</f>
        <v/>
      </c>
      <c r="L105" s="8" t="str">
        <f aca="false">IF(F105=0,"",_xlfn.MAXIFS(Closed_Deals!$R$2:$R$761,Closed_Deals!$B$2:$B$761,A105,Closed_Deals!$N$2:$N$761,"Won"))</f>
        <v/>
      </c>
      <c r="M105" s="7" t="n">
        <f aca="false">COUNTIF(Open_Pipeline!$B$2:$B$151,A105)</f>
        <v>2</v>
      </c>
      <c r="N105" s="10" t="n">
        <f aca="false">SUMIF(Open_Pipeline!$B$2:$B$151,A105,Open_Pipeline!$M$2:$M$151)</f>
        <v>195626.25</v>
      </c>
      <c r="O105" s="7" t="str">
        <f aca="true">IF(F105=0,"",TODAY()-L105)</f>
        <v/>
      </c>
      <c r="P105" s="7" t="str">
        <f aca="false">IF(F105&gt;=2,"Yes","No")</f>
        <v>No</v>
      </c>
      <c r="Q105" s="7" t="str">
        <f aca="false">IF(F105=0,"No Won Business",IF(M105&gt;0,"Active - In Pipeline",IF(O105&lt;=365,"Active",IF(O105&lt;=545,"At Risk","Churned"))))</f>
        <v>No Won Business</v>
      </c>
    </row>
    <row r="106" customFormat="false" ht="15" hidden="false" customHeight="false" outlineLevel="0" collapsed="false">
      <c r="A106" s="7" t="s">
        <v>1262</v>
      </c>
      <c r="B106" s="7" t="s">
        <v>1263</v>
      </c>
      <c r="C106" s="7" t="s">
        <v>151</v>
      </c>
      <c r="D106" s="7" t="s">
        <v>94</v>
      </c>
      <c r="E106" s="7" t="n">
        <f aca="false">COUNTIF(Closed_Deals!$B$2:$B$761,A106)</f>
        <v>1</v>
      </c>
      <c r="F106" s="7" t="n">
        <f aca="false">COUNTIFS(Closed_Deals!$B$2:$B$761,A106,Closed_Deals!$N$2:$N$761,"Won")</f>
        <v>0</v>
      </c>
      <c r="G106" s="7" t="n">
        <f aca="false">E106-F106</f>
        <v>1</v>
      </c>
      <c r="H106" s="11" t="n">
        <f aca="false">IFERROR(F106/E106,"")</f>
        <v>0</v>
      </c>
      <c r="I106" s="10" t="n">
        <f aca="false">SUMIFS(Closed_Deals!$M$2:$M$761,Closed_Deals!$B$2:$B$761,A106,Closed_Deals!$N$2:$N$761,"Won")</f>
        <v>0</v>
      </c>
      <c r="J106" s="10" t="str">
        <f aca="false">IFERROR(I106/F106,"")</f>
        <v/>
      </c>
      <c r="K106" s="8" t="str">
        <f aca="false">IF(F106=0,"",_xlfn.MINIFS(Closed_Deals!$R$2:$R$761,Closed_Deals!$B$2:$B$761,A106,Closed_Deals!$N$2:$N$761,"Won"))</f>
        <v/>
      </c>
      <c r="L106" s="8" t="str">
        <f aca="false">IF(F106=0,"",_xlfn.MAXIFS(Closed_Deals!$R$2:$R$761,Closed_Deals!$B$2:$B$761,A106,Closed_Deals!$N$2:$N$761,"Won"))</f>
        <v/>
      </c>
      <c r="M106" s="7" t="n">
        <f aca="false">COUNTIF(Open_Pipeline!$B$2:$B$151,A106)</f>
        <v>1</v>
      </c>
      <c r="N106" s="10" t="n">
        <f aca="false">SUMIF(Open_Pipeline!$B$2:$B$151,A106,Open_Pipeline!$M$2:$M$151)</f>
        <v>180355.17</v>
      </c>
      <c r="O106" s="7" t="str">
        <f aca="true">IF(F106=0,"",TODAY()-L106)</f>
        <v/>
      </c>
      <c r="P106" s="7" t="str">
        <f aca="false">IF(F106&gt;=2,"Yes","No")</f>
        <v>No</v>
      </c>
      <c r="Q106" s="7" t="str">
        <f aca="false">IF(F106=0,"No Won Business",IF(M106&gt;0,"Active - In Pipeline",IF(O106&lt;=365,"Active",IF(O106&lt;=545,"At Risk","Churned"))))</f>
        <v>No Won Business</v>
      </c>
    </row>
    <row r="107" customFormat="false" ht="15" hidden="false" customHeight="false" outlineLevel="0" collapsed="false">
      <c r="A107" s="7" t="s">
        <v>261</v>
      </c>
      <c r="B107" s="7" t="s">
        <v>262</v>
      </c>
      <c r="C107" s="7" t="s">
        <v>93</v>
      </c>
      <c r="D107" s="7" t="s">
        <v>94</v>
      </c>
      <c r="E107" s="7" t="n">
        <f aca="false">COUNTIF(Closed_Deals!$B$2:$B$761,A107)</f>
        <v>1</v>
      </c>
      <c r="F107" s="7" t="n">
        <f aca="false">COUNTIFS(Closed_Deals!$B$2:$B$761,A107,Closed_Deals!$N$2:$N$761,"Won")</f>
        <v>0</v>
      </c>
      <c r="G107" s="7" t="n">
        <f aca="false">E107-F107</f>
        <v>1</v>
      </c>
      <c r="H107" s="11" t="n">
        <f aca="false">IFERROR(F107/E107,"")</f>
        <v>0</v>
      </c>
      <c r="I107" s="10" t="n">
        <f aca="false">SUMIFS(Closed_Deals!$M$2:$M$761,Closed_Deals!$B$2:$B$761,A107,Closed_Deals!$N$2:$N$761,"Won")</f>
        <v>0</v>
      </c>
      <c r="J107" s="10" t="str">
        <f aca="false">IFERROR(I107/F107,"")</f>
        <v/>
      </c>
      <c r="K107" s="8" t="str">
        <f aca="false">IF(F107=0,"",_xlfn.MINIFS(Closed_Deals!$R$2:$R$761,Closed_Deals!$B$2:$B$761,A107,Closed_Deals!$N$2:$N$761,"Won"))</f>
        <v/>
      </c>
      <c r="L107" s="8" t="str">
        <f aca="false">IF(F107=0,"",_xlfn.MAXIFS(Closed_Deals!$R$2:$R$761,Closed_Deals!$B$2:$B$761,A107,Closed_Deals!$N$2:$N$761,"Won"))</f>
        <v/>
      </c>
      <c r="M107" s="7" t="n">
        <f aca="false">COUNTIF(Open_Pipeline!$B$2:$B$151,A107)</f>
        <v>0</v>
      </c>
      <c r="N107" s="10" t="n">
        <f aca="false">SUMIF(Open_Pipeline!$B$2:$B$151,A107,Open_Pipeline!$M$2:$M$151)</f>
        <v>0</v>
      </c>
      <c r="O107" s="7" t="str">
        <f aca="true">IF(F107=0,"",TODAY()-L107)</f>
        <v/>
      </c>
      <c r="P107" s="7" t="str">
        <f aca="false">IF(F107&gt;=2,"Yes","No")</f>
        <v>No</v>
      </c>
      <c r="Q107" s="7" t="str">
        <f aca="false">IF(F107=0,"No Won Business",IF(M107&gt;0,"Active - In Pipeline",IF(O107&lt;=365,"Active",IF(O107&lt;=545,"At Risk","Churned"))))</f>
        <v>No Won Business</v>
      </c>
    </row>
    <row r="108" customFormat="false" ht="15" hidden="false" customHeight="false" outlineLevel="0" collapsed="false">
      <c r="A108" s="7" t="s">
        <v>546</v>
      </c>
      <c r="B108" s="7" t="s">
        <v>547</v>
      </c>
      <c r="C108" s="7" t="s">
        <v>201</v>
      </c>
      <c r="D108" s="7" t="s">
        <v>105</v>
      </c>
      <c r="E108" s="7" t="n">
        <f aca="false">COUNTIF(Closed_Deals!$B$2:$B$761,A108)</f>
        <v>5</v>
      </c>
      <c r="F108" s="7" t="n">
        <f aca="false">COUNTIFS(Closed_Deals!$B$2:$B$761,A108,Closed_Deals!$N$2:$N$761,"Won")</f>
        <v>3</v>
      </c>
      <c r="G108" s="7" t="n">
        <f aca="false">E108-F108</f>
        <v>2</v>
      </c>
      <c r="H108" s="11" t="n">
        <f aca="false">IFERROR(F108/E108,"")</f>
        <v>0.6</v>
      </c>
      <c r="I108" s="10" t="n">
        <f aca="false">SUMIFS(Closed_Deals!$M$2:$M$761,Closed_Deals!$B$2:$B$761,A108,Closed_Deals!$N$2:$N$761,"Won")</f>
        <v>385410.43</v>
      </c>
      <c r="J108" s="10" t="n">
        <f aca="false">IFERROR(I108/F108,"")</f>
        <v>128470.143333333</v>
      </c>
      <c r="K108" s="8" t="n">
        <f aca="false">IF(F108=0,"",_xlfn.MINIFS(Closed_Deals!$R$2:$R$761,Closed_Deals!$B$2:$B$761,A108,Closed_Deals!$N$2:$N$761,"Won"))</f>
        <v>45818</v>
      </c>
      <c r="L108" s="8" t="n">
        <f aca="false">IF(F108=0,"",_xlfn.MAXIFS(Closed_Deals!$R$2:$R$761,Closed_Deals!$B$2:$B$761,A108,Closed_Deals!$N$2:$N$761,"Won"))</f>
        <v>46149</v>
      </c>
      <c r="M108" s="7" t="n">
        <f aca="false">COUNTIF(Open_Pipeline!$B$2:$B$151,A108)</f>
        <v>3</v>
      </c>
      <c r="N108" s="10" t="n">
        <f aca="false">SUMIF(Open_Pipeline!$B$2:$B$151,A108,Open_Pipeline!$M$2:$M$151)</f>
        <v>286148.12</v>
      </c>
      <c r="O108" s="7" t="n">
        <f aca="true">IF(F108=0,"",TODAY()-L108)</f>
        <v>125</v>
      </c>
      <c r="P108" s="7" t="str">
        <f aca="false">IF(F108&gt;=2,"Yes","No")</f>
        <v>Yes</v>
      </c>
      <c r="Q108" s="7" t="str">
        <f aca="false">IF(F108=0,"No Won Business",IF(M108&gt;0,"Active - In Pipeline",IF(O108&lt;=365,"Active",IF(O108&lt;=545,"At Risk","Churned"))))</f>
        <v>Active - In Pipeline</v>
      </c>
    </row>
    <row r="109" customFormat="false" ht="15" hidden="false" customHeight="false" outlineLevel="0" collapsed="false">
      <c r="A109" s="7" t="s">
        <v>485</v>
      </c>
      <c r="B109" s="7" t="s">
        <v>486</v>
      </c>
      <c r="C109" s="7" t="s">
        <v>151</v>
      </c>
      <c r="D109" s="7" t="s">
        <v>94</v>
      </c>
      <c r="E109" s="7" t="n">
        <f aca="false">COUNTIF(Closed_Deals!$B$2:$B$761,A109)</f>
        <v>5</v>
      </c>
      <c r="F109" s="7" t="n">
        <f aca="false">COUNTIFS(Closed_Deals!$B$2:$B$761,A109,Closed_Deals!$N$2:$N$761,"Won")</f>
        <v>0</v>
      </c>
      <c r="G109" s="7" t="n">
        <f aca="false">E109-F109</f>
        <v>5</v>
      </c>
      <c r="H109" s="11" t="n">
        <f aca="false">IFERROR(F109/E109,"")</f>
        <v>0</v>
      </c>
      <c r="I109" s="10" t="n">
        <f aca="false">SUMIFS(Closed_Deals!$M$2:$M$761,Closed_Deals!$B$2:$B$761,A109,Closed_Deals!$N$2:$N$761,"Won")</f>
        <v>0</v>
      </c>
      <c r="J109" s="10" t="str">
        <f aca="false">IFERROR(I109/F109,"")</f>
        <v/>
      </c>
      <c r="K109" s="8" t="str">
        <f aca="false">IF(F109=0,"",_xlfn.MINIFS(Closed_Deals!$R$2:$R$761,Closed_Deals!$B$2:$B$761,A109,Closed_Deals!$N$2:$N$761,"Won"))</f>
        <v/>
      </c>
      <c r="L109" s="8" t="str">
        <f aca="false">IF(F109=0,"",_xlfn.MAXIFS(Closed_Deals!$R$2:$R$761,Closed_Deals!$B$2:$B$761,A109,Closed_Deals!$N$2:$N$761,"Won"))</f>
        <v/>
      </c>
      <c r="M109" s="7" t="n">
        <f aca="false">COUNTIF(Open_Pipeline!$B$2:$B$151,A109)</f>
        <v>2</v>
      </c>
      <c r="N109" s="10" t="n">
        <f aca="false">SUMIF(Open_Pipeline!$B$2:$B$151,A109,Open_Pipeline!$M$2:$M$151)</f>
        <v>224878.77</v>
      </c>
      <c r="O109" s="7" t="str">
        <f aca="true">IF(F109=0,"",TODAY()-L109)</f>
        <v/>
      </c>
      <c r="P109" s="7" t="str">
        <f aca="false">IF(F109&gt;=2,"Yes","No")</f>
        <v>No</v>
      </c>
      <c r="Q109" s="7" t="str">
        <f aca="false">IF(F109=0,"No Won Business",IF(M109&gt;0,"Active - In Pipeline",IF(O109&lt;=365,"Active",IF(O109&lt;=545,"At Risk","Churned"))))</f>
        <v>No Won Business</v>
      </c>
    </row>
    <row r="110" customFormat="false" ht="15" hidden="false" customHeight="false" outlineLevel="0" collapsed="false">
      <c r="A110" s="7" t="s">
        <v>199</v>
      </c>
      <c r="B110" s="7" t="s">
        <v>200</v>
      </c>
      <c r="C110" s="7" t="s">
        <v>201</v>
      </c>
      <c r="D110" s="7" t="s">
        <v>94</v>
      </c>
      <c r="E110" s="7" t="n">
        <f aca="false">COUNTIF(Closed_Deals!$B$2:$B$761,A110)</f>
        <v>6</v>
      </c>
      <c r="F110" s="7" t="n">
        <f aca="false">COUNTIFS(Closed_Deals!$B$2:$B$761,A110,Closed_Deals!$N$2:$N$761,"Won")</f>
        <v>2</v>
      </c>
      <c r="G110" s="7" t="n">
        <f aca="false">E110-F110</f>
        <v>4</v>
      </c>
      <c r="H110" s="11" t="n">
        <f aca="false">IFERROR(F110/E110,"")</f>
        <v>0.333333333333333</v>
      </c>
      <c r="I110" s="10" t="n">
        <f aca="false">SUMIFS(Closed_Deals!$M$2:$M$761,Closed_Deals!$B$2:$B$761,A110,Closed_Deals!$N$2:$N$761,"Won")</f>
        <v>336402.63</v>
      </c>
      <c r="J110" s="10" t="n">
        <f aca="false">IFERROR(I110/F110,"")</f>
        <v>168201.315</v>
      </c>
      <c r="K110" s="8" t="n">
        <f aca="false">IF(F110=0,"",_xlfn.MINIFS(Closed_Deals!$R$2:$R$761,Closed_Deals!$B$2:$B$761,A110,Closed_Deals!$N$2:$N$761,"Won"))</f>
        <v>45808</v>
      </c>
      <c r="L110" s="8" t="n">
        <f aca="false">IF(F110=0,"",_xlfn.MAXIFS(Closed_Deals!$R$2:$R$761,Closed_Deals!$B$2:$B$761,A110,Closed_Deals!$N$2:$N$761,"Won"))</f>
        <v>45906</v>
      </c>
      <c r="M110" s="7" t="n">
        <f aca="false">COUNTIF(Open_Pipeline!$B$2:$B$151,A110)</f>
        <v>2</v>
      </c>
      <c r="N110" s="10" t="n">
        <f aca="false">SUMIF(Open_Pipeline!$B$2:$B$151,A110,Open_Pipeline!$M$2:$M$151)</f>
        <v>158233.64</v>
      </c>
      <c r="O110" s="7" t="n">
        <f aca="true">IF(F110=0,"",TODAY()-L110)</f>
        <v>368</v>
      </c>
      <c r="P110" s="7" t="str">
        <f aca="false">IF(F110&gt;=2,"Yes","No")</f>
        <v>Yes</v>
      </c>
      <c r="Q110" s="7" t="str">
        <f aca="false">IF(F110=0,"No Won Business",IF(M110&gt;0,"Active - In Pipeline",IF(O110&lt;=365,"Active",IF(O110&lt;=545,"At Risk","Churned"))))</f>
        <v>Active - In Pipeline</v>
      </c>
    </row>
    <row r="111" customFormat="false" ht="15" hidden="false" customHeight="false" outlineLevel="0" collapsed="false">
      <c r="A111" s="7" t="s">
        <v>1538</v>
      </c>
      <c r="B111" s="7" t="s">
        <v>1539</v>
      </c>
      <c r="C111" s="7" t="s">
        <v>135</v>
      </c>
      <c r="D111" s="7" t="s">
        <v>115</v>
      </c>
      <c r="E111" s="7" t="n">
        <f aca="false">COUNTIF(Closed_Deals!$B$2:$B$761,A111)</f>
        <v>0</v>
      </c>
      <c r="F111" s="7" t="n">
        <f aca="false">COUNTIFS(Closed_Deals!$B$2:$B$761,A111,Closed_Deals!$N$2:$N$761,"Won")</f>
        <v>0</v>
      </c>
      <c r="G111" s="7" t="n">
        <f aca="false">E111-F111</f>
        <v>0</v>
      </c>
      <c r="H111" s="11" t="str">
        <f aca="false">IFERROR(F111/E111,"")</f>
        <v/>
      </c>
      <c r="I111" s="10" t="n">
        <f aca="false">SUMIFS(Closed_Deals!$M$2:$M$761,Closed_Deals!$B$2:$B$761,A111,Closed_Deals!$N$2:$N$761,"Won")</f>
        <v>0</v>
      </c>
      <c r="J111" s="10" t="str">
        <f aca="false">IFERROR(I111/F111,"")</f>
        <v/>
      </c>
      <c r="K111" s="8" t="str">
        <f aca="false">IF(F111=0,"",_xlfn.MINIFS(Closed_Deals!$R$2:$R$761,Closed_Deals!$B$2:$B$761,A111,Closed_Deals!$N$2:$N$761,"Won"))</f>
        <v/>
      </c>
      <c r="L111" s="8" t="str">
        <f aca="false">IF(F111=0,"",_xlfn.MAXIFS(Closed_Deals!$R$2:$R$761,Closed_Deals!$B$2:$B$761,A111,Closed_Deals!$N$2:$N$761,"Won"))</f>
        <v/>
      </c>
      <c r="M111" s="7" t="n">
        <f aca="false">COUNTIF(Open_Pipeline!$B$2:$B$151,A111)</f>
        <v>0</v>
      </c>
      <c r="N111" s="10" t="n">
        <f aca="false">SUMIF(Open_Pipeline!$B$2:$B$151,A111,Open_Pipeline!$M$2:$M$151)</f>
        <v>0</v>
      </c>
      <c r="O111" s="7" t="str">
        <f aca="true">IF(F111=0,"",TODAY()-L111)</f>
        <v/>
      </c>
      <c r="P111" s="7" t="str">
        <f aca="false">IF(F111&gt;=2,"Yes","No")</f>
        <v>No</v>
      </c>
      <c r="Q111" s="7" t="str">
        <f aca="false">IF(F111=0,"No Won Business",IF(M111&gt;0,"Active - In Pipeline",IF(O111&lt;=365,"Active",IF(O111&lt;=545,"At Risk","Churned"))))</f>
        <v>No Won Business</v>
      </c>
    </row>
    <row r="112" customFormat="false" ht="15" hidden="false" customHeight="false" outlineLevel="0" collapsed="false">
      <c r="A112" s="7" t="s">
        <v>188</v>
      </c>
      <c r="B112" s="7" t="s">
        <v>189</v>
      </c>
      <c r="C112" s="7" t="s">
        <v>151</v>
      </c>
      <c r="D112" s="7" t="s">
        <v>105</v>
      </c>
      <c r="E112" s="7" t="n">
        <f aca="false">COUNTIF(Closed_Deals!$B$2:$B$761,A112)</f>
        <v>10</v>
      </c>
      <c r="F112" s="7" t="n">
        <f aca="false">COUNTIFS(Closed_Deals!$B$2:$B$761,A112,Closed_Deals!$N$2:$N$761,"Won")</f>
        <v>7</v>
      </c>
      <c r="G112" s="7" t="n">
        <f aca="false">E112-F112</f>
        <v>3</v>
      </c>
      <c r="H112" s="11" t="n">
        <f aca="false">IFERROR(F112/E112,"")</f>
        <v>0.7</v>
      </c>
      <c r="I112" s="10" t="n">
        <f aca="false">SUMIFS(Closed_Deals!$M$2:$M$761,Closed_Deals!$B$2:$B$761,A112,Closed_Deals!$N$2:$N$761,"Won")</f>
        <v>1033183.78</v>
      </c>
      <c r="J112" s="10" t="n">
        <f aca="false">IFERROR(I112/F112,"")</f>
        <v>147597.682857143</v>
      </c>
      <c r="K112" s="8" t="n">
        <f aca="false">IF(F112=0,"",_xlfn.MINIFS(Closed_Deals!$R$2:$R$761,Closed_Deals!$B$2:$B$761,A112,Closed_Deals!$N$2:$N$761,"Won"))</f>
        <v>45395</v>
      </c>
      <c r="L112" s="8" t="n">
        <f aca="false">IF(F112=0,"",_xlfn.MAXIFS(Closed_Deals!$R$2:$R$761,Closed_Deals!$B$2:$B$761,A112,Closed_Deals!$N$2:$N$761,"Won"))</f>
        <v>46320</v>
      </c>
      <c r="M112" s="7" t="n">
        <f aca="false">COUNTIF(Open_Pipeline!$B$2:$B$151,A112)</f>
        <v>1</v>
      </c>
      <c r="N112" s="10" t="n">
        <f aca="false">SUMIF(Open_Pipeline!$B$2:$B$151,A112,Open_Pipeline!$M$2:$M$151)</f>
        <v>44902.89</v>
      </c>
      <c r="O112" s="7" t="n">
        <f aca="true">IF(F112=0,"",TODAY()-L112)</f>
        <v>-46</v>
      </c>
      <c r="P112" s="7" t="str">
        <f aca="false">IF(F112&gt;=2,"Yes","No")</f>
        <v>Yes</v>
      </c>
      <c r="Q112" s="7" t="str">
        <f aca="false">IF(F112=0,"No Won Business",IF(M112&gt;0,"Active - In Pipeline",IF(O112&lt;=365,"Active",IF(O112&lt;=545,"At Risk","Churned"))))</f>
        <v>Active - In Pipeline</v>
      </c>
    </row>
    <row r="113" customFormat="false" ht="15" hidden="false" customHeight="false" outlineLevel="0" collapsed="false">
      <c r="A113" s="7" t="s">
        <v>840</v>
      </c>
      <c r="B113" s="7" t="s">
        <v>841</v>
      </c>
      <c r="C113" s="7" t="s">
        <v>201</v>
      </c>
      <c r="D113" s="7" t="s">
        <v>115</v>
      </c>
      <c r="E113" s="7" t="n">
        <f aca="false">COUNTIF(Closed_Deals!$B$2:$B$761,A113)</f>
        <v>1</v>
      </c>
      <c r="F113" s="7" t="n">
        <f aca="false">COUNTIFS(Closed_Deals!$B$2:$B$761,A113,Closed_Deals!$N$2:$N$761,"Won")</f>
        <v>0</v>
      </c>
      <c r="G113" s="7" t="n">
        <f aca="false">E113-F113</f>
        <v>1</v>
      </c>
      <c r="H113" s="11" t="n">
        <f aca="false">IFERROR(F113/E113,"")</f>
        <v>0</v>
      </c>
      <c r="I113" s="10" t="n">
        <f aca="false">SUMIFS(Closed_Deals!$M$2:$M$761,Closed_Deals!$B$2:$B$761,A113,Closed_Deals!$N$2:$N$761,"Won")</f>
        <v>0</v>
      </c>
      <c r="J113" s="10" t="str">
        <f aca="false">IFERROR(I113/F113,"")</f>
        <v/>
      </c>
      <c r="K113" s="8" t="str">
        <f aca="false">IF(F113=0,"",_xlfn.MINIFS(Closed_Deals!$R$2:$R$761,Closed_Deals!$B$2:$B$761,A113,Closed_Deals!$N$2:$N$761,"Won"))</f>
        <v/>
      </c>
      <c r="L113" s="8" t="str">
        <f aca="false">IF(F113=0,"",_xlfn.MAXIFS(Closed_Deals!$R$2:$R$761,Closed_Deals!$B$2:$B$761,A113,Closed_Deals!$N$2:$N$761,"Won"))</f>
        <v/>
      </c>
      <c r="M113" s="7" t="n">
        <f aca="false">COUNTIF(Open_Pipeline!$B$2:$B$151,A113)</f>
        <v>0</v>
      </c>
      <c r="N113" s="10" t="n">
        <f aca="false">SUMIF(Open_Pipeline!$B$2:$B$151,A113,Open_Pipeline!$M$2:$M$151)</f>
        <v>0</v>
      </c>
      <c r="O113" s="7" t="str">
        <f aca="true">IF(F113=0,"",TODAY()-L113)</f>
        <v/>
      </c>
      <c r="P113" s="7" t="str">
        <f aca="false">IF(F113&gt;=2,"Yes","No")</f>
        <v>No</v>
      </c>
      <c r="Q113" s="7" t="str">
        <f aca="false">IF(F113=0,"No Won Business",IF(M113&gt;0,"Active - In Pipeline",IF(O113&lt;=365,"Active",IF(O113&lt;=545,"At Risk","Churned"))))</f>
        <v>No Won Business</v>
      </c>
    </row>
    <row r="114" customFormat="false" ht="15" hidden="false" customHeight="false" outlineLevel="0" collapsed="false">
      <c r="A114" s="7" t="s">
        <v>287</v>
      </c>
      <c r="B114" s="7" t="s">
        <v>288</v>
      </c>
      <c r="C114" s="7" t="s">
        <v>151</v>
      </c>
      <c r="D114" s="7" t="s">
        <v>94</v>
      </c>
      <c r="E114" s="7" t="n">
        <f aca="false">COUNTIF(Closed_Deals!$B$2:$B$761,A114)</f>
        <v>7</v>
      </c>
      <c r="F114" s="7" t="n">
        <f aca="false">COUNTIFS(Closed_Deals!$B$2:$B$761,A114,Closed_Deals!$N$2:$N$761,"Won")</f>
        <v>3</v>
      </c>
      <c r="G114" s="7" t="n">
        <f aca="false">E114-F114</f>
        <v>4</v>
      </c>
      <c r="H114" s="11" t="n">
        <f aca="false">IFERROR(F114/E114,"")</f>
        <v>0.428571428571429</v>
      </c>
      <c r="I114" s="10" t="n">
        <f aca="false">SUMIFS(Closed_Deals!$M$2:$M$761,Closed_Deals!$B$2:$B$761,A114,Closed_Deals!$N$2:$N$761,"Won")</f>
        <v>259417.66</v>
      </c>
      <c r="J114" s="10" t="n">
        <f aca="false">IFERROR(I114/F114,"")</f>
        <v>86472.5533333333</v>
      </c>
      <c r="K114" s="8" t="n">
        <f aca="false">IF(F114=0,"",_xlfn.MINIFS(Closed_Deals!$R$2:$R$761,Closed_Deals!$B$2:$B$761,A114,Closed_Deals!$N$2:$N$761,"Won"))</f>
        <v>46187</v>
      </c>
      <c r="L114" s="8" t="n">
        <f aca="false">IF(F114=0,"",_xlfn.MAXIFS(Closed_Deals!$R$2:$R$761,Closed_Deals!$B$2:$B$761,A114,Closed_Deals!$N$2:$N$761,"Won"))</f>
        <v>46311</v>
      </c>
      <c r="M114" s="7" t="n">
        <f aca="false">COUNTIF(Open_Pipeline!$B$2:$B$151,A114)</f>
        <v>0</v>
      </c>
      <c r="N114" s="10" t="n">
        <f aca="false">SUMIF(Open_Pipeline!$B$2:$B$151,A114,Open_Pipeline!$M$2:$M$151)</f>
        <v>0</v>
      </c>
      <c r="O114" s="7" t="n">
        <f aca="true">IF(F114=0,"",TODAY()-L114)</f>
        <v>-37</v>
      </c>
      <c r="P114" s="7" t="str">
        <f aca="false">IF(F114&gt;=2,"Yes","No")</f>
        <v>Yes</v>
      </c>
      <c r="Q114" s="7" t="str">
        <f aca="false">IF(F114=0,"No Won Business",IF(M114&gt;0,"Active - In Pipeline",IF(O114&lt;=365,"Active",IF(O114&lt;=545,"At Risk","Churned"))))</f>
        <v>Active</v>
      </c>
    </row>
    <row r="115" customFormat="false" ht="15" hidden="false" customHeight="false" outlineLevel="0" collapsed="false">
      <c r="A115" s="7" t="s">
        <v>1173</v>
      </c>
      <c r="B115" s="7" t="s">
        <v>1174</v>
      </c>
      <c r="C115" s="7" t="s">
        <v>93</v>
      </c>
      <c r="D115" s="7" t="s">
        <v>115</v>
      </c>
      <c r="E115" s="7" t="n">
        <f aca="false">COUNTIF(Closed_Deals!$B$2:$B$761,A115)</f>
        <v>1</v>
      </c>
      <c r="F115" s="7" t="n">
        <f aca="false">COUNTIFS(Closed_Deals!$B$2:$B$761,A115,Closed_Deals!$N$2:$N$761,"Won")</f>
        <v>1</v>
      </c>
      <c r="G115" s="7" t="n">
        <f aca="false">E115-F115</f>
        <v>0</v>
      </c>
      <c r="H115" s="11" t="n">
        <f aca="false">IFERROR(F115/E115,"")</f>
        <v>1</v>
      </c>
      <c r="I115" s="10" t="n">
        <f aca="false">SUMIFS(Closed_Deals!$M$2:$M$761,Closed_Deals!$B$2:$B$761,A115,Closed_Deals!$N$2:$N$761,"Won")</f>
        <v>98732.26</v>
      </c>
      <c r="J115" s="10" t="n">
        <f aca="false">IFERROR(I115/F115,"")</f>
        <v>98732.26</v>
      </c>
      <c r="K115" s="8" t="n">
        <f aca="false">IF(F115=0,"",_xlfn.MINIFS(Closed_Deals!$R$2:$R$761,Closed_Deals!$B$2:$B$761,A115,Closed_Deals!$N$2:$N$761,"Won"))</f>
        <v>46155</v>
      </c>
      <c r="L115" s="8" t="n">
        <f aca="false">IF(F115=0,"",_xlfn.MAXIFS(Closed_Deals!$R$2:$R$761,Closed_Deals!$B$2:$B$761,A115,Closed_Deals!$N$2:$N$761,"Won"))</f>
        <v>46155</v>
      </c>
      <c r="M115" s="7" t="n">
        <f aca="false">COUNTIF(Open_Pipeline!$B$2:$B$151,A115)</f>
        <v>0</v>
      </c>
      <c r="N115" s="10" t="n">
        <f aca="false">SUMIF(Open_Pipeline!$B$2:$B$151,A115,Open_Pipeline!$M$2:$M$151)</f>
        <v>0</v>
      </c>
      <c r="O115" s="7" t="n">
        <f aca="true">IF(F115=0,"",TODAY()-L115)</f>
        <v>119</v>
      </c>
      <c r="P115" s="7" t="str">
        <f aca="false">IF(F115&gt;=2,"Yes","No")</f>
        <v>No</v>
      </c>
      <c r="Q115" s="7" t="str">
        <f aca="false">IF(F115=0,"No Won Business",IF(M115&gt;0,"Active - In Pipeline",IF(O115&lt;=365,"Active",IF(O115&lt;=545,"At Risk","Churned"))))</f>
        <v>Active</v>
      </c>
    </row>
    <row r="116" customFormat="false" ht="15" hidden="false" customHeight="false" outlineLevel="0" collapsed="false">
      <c r="A116" s="7" t="s">
        <v>969</v>
      </c>
      <c r="B116" s="7" t="s">
        <v>970</v>
      </c>
      <c r="C116" s="7" t="s">
        <v>135</v>
      </c>
      <c r="D116" s="7" t="s">
        <v>94</v>
      </c>
      <c r="E116" s="7" t="n">
        <f aca="false">COUNTIF(Closed_Deals!$B$2:$B$761,A116)</f>
        <v>1</v>
      </c>
      <c r="F116" s="7" t="n">
        <f aca="false">COUNTIFS(Closed_Deals!$B$2:$B$761,A116,Closed_Deals!$N$2:$N$761,"Won")</f>
        <v>1</v>
      </c>
      <c r="G116" s="7" t="n">
        <f aca="false">E116-F116</f>
        <v>0</v>
      </c>
      <c r="H116" s="11" t="n">
        <f aca="false">IFERROR(F116/E116,"")</f>
        <v>1</v>
      </c>
      <c r="I116" s="10" t="n">
        <f aca="false">SUMIFS(Closed_Deals!$M$2:$M$761,Closed_Deals!$B$2:$B$761,A116,Closed_Deals!$N$2:$N$761,"Won")</f>
        <v>110971.61</v>
      </c>
      <c r="J116" s="10" t="n">
        <f aca="false">IFERROR(I116/F116,"")</f>
        <v>110971.61</v>
      </c>
      <c r="K116" s="8" t="n">
        <f aca="false">IF(F116=0,"",_xlfn.MINIFS(Closed_Deals!$R$2:$R$761,Closed_Deals!$B$2:$B$761,A116,Closed_Deals!$N$2:$N$761,"Won"))</f>
        <v>46150</v>
      </c>
      <c r="L116" s="8" t="n">
        <f aca="false">IF(F116=0,"",_xlfn.MAXIFS(Closed_Deals!$R$2:$R$761,Closed_Deals!$B$2:$B$761,A116,Closed_Deals!$N$2:$N$761,"Won"))</f>
        <v>46150</v>
      </c>
      <c r="M116" s="7" t="n">
        <f aca="false">COUNTIF(Open_Pipeline!$B$2:$B$151,A116)</f>
        <v>0</v>
      </c>
      <c r="N116" s="10" t="n">
        <f aca="false">SUMIF(Open_Pipeline!$B$2:$B$151,A116,Open_Pipeline!$M$2:$M$151)</f>
        <v>0</v>
      </c>
      <c r="O116" s="7" t="n">
        <f aca="true">IF(F116=0,"",TODAY()-L116)</f>
        <v>124</v>
      </c>
      <c r="P116" s="7" t="str">
        <f aca="false">IF(F116&gt;=2,"Yes","No")</f>
        <v>No</v>
      </c>
      <c r="Q116" s="7" t="str">
        <f aca="false">IF(F116=0,"No Won Business",IF(M116&gt;0,"Active - In Pipeline",IF(O116&lt;=365,"Active",IF(O116&lt;=545,"At Risk","Churned"))))</f>
        <v>Active</v>
      </c>
    </row>
    <row r="117" customFormat="false" ht="15" hidden="false" customHeight="false" outlineLevel="0" collapsed="false">
      <c r="A117" s="7" t="s">
        <v>1217</v>
      </c>
      <c r="B117" s="7" t="s">
        <v>1218</v>
      </c>
      <c r="C117" s="7" t="s">
        <v>151</v>
      </c>
      <c r="D117" s="7" t="s">
        <v>162</v>
      </c>
      <c r="E117" s="7" t="n">
        <f aca="false">COUNTIF(Closed_Deals!$B$2:$B$761,A117)</f>
        <v>2</v>
      </c>
      <c r="F117" s="7" t="n">
        <f aca="false">COUNTIFS(Closed_Deals!$B$2:$B$761,A117,Closed_Deals!$N$2:$N$761,"Won")</f>
        <v>1</v>
      </c>
      <c r="G117" s="7" t="n">
        <f aca="false">E117-F117</f>
        <v>1</v>
      </c>
      <c r="H117" s="11" t="n">
        <f aca="false">IFERROR(F117/E117,"")</f>
        <v>0.5</v>
      </c>
      <c r="I117" s="10" t="n">
        <f aca="false">SUMIFS(Closed_Deals!$M$2:$M$761,Closed_Deals!$B$2:$B$761,A117,Closed_Deals!$N$2:$N$761,"Won")</f>
        <v>48577.65</v>
      </c>
      <c r="J117" s="10" t="n">
        <f aca="false">IFERROR(I117/F117,"")</f>
        <v>48577.65</v>
      </c>
      <c r="K117" s="8" t="n">
        <f aca="false">IF(F117=0,"",_xlfn.MINIFS(Closed_Deals!$R$2:$R$761,Closed_Deals!$B$2:$B$761,A117,Closed_Deals!$N$2:$N$761,"Won"))</f>
        <v>46351</v>
      </c>
      <c r="L117" s="8" t="n">
        <f aca="false">IF(F117=0,"",_xlfn.MAXIFS(Closed_Deals!$R$2:$R$761,Closed_Deals!$B$2:$B$761,A117,Closed_Deals!$N$2:$N$761,"Won"))</f>
        <v>46351</v>
      </c>
      <c r="M117" s="7" t="n">
        <f aca="false">COUNTIF(Open_Pipeline!$B$2:$B$151,A117)</f>
        <v>0</v>
      </c>
      <c r="N117" s="10" t="n">
        <f aca="false">SUMIF(Open_Pipeline!$B$2:$B$151,A117,Open_Pipeline!$M$2:$M$151)</f>
        <v>0</v>
      </c>
      <c r="O117" s="7" t="n">
        <f aca="true">IF(F117=0,"",TODAY()-L117)</f>
        <v>-77</v>
      </c>
      <c r="P117" s="7" t="str">
        <f aca="false">IF(F117&gt;=2,"Yes","No")</f>
        <v>No</v>
      </c>
      <c r="Q117" s="7" t="str">
        <f aca="false">IF(F117=0,"No Won Business",IF(M117&gt;0,"Active - In Pipeline",IF(O117&lt;=365,"Active",IF(O117&lt;=545,"At Risk","Churned"))))</f>
        <v>Active</v>
      </c>
    </row>
    <row r="118" customFormat="false" ht="15" hidden="false" customHeight="false" outlineLevel="0" collapsed="false">
      <c r="A118" s="7" t="s">
        <v>1540</v>
      </c>
      <c r="B118" s="7" t="s">
        <v>1541</v>
      </c>
      <c r="C118" s="7" t="s">
        <v>195</v>
      </c>
      <c r="D118" s="7" t="s">
        <v>162</v>
      </c>
      <c r="E118" s="7" t="n">
        <f aca="false">COUNTIF(Closed_Deals!$B$2:$B$761,A118)</f>
        <v>0</v>
      </c>
      <c r="F118" s="7" t="n">
        <f aca="false">COUNTIFS(Closed_Deals!$B$2:$B$761,A118,Closed_Deals!$N$2:$N$761,"Won")</f>
        <v>0</v>
      </c>
      <c r="G118" s="7" t="n">
        <f aca="false">E118-F118</f>
        <v>0</v>
      </c>
      <c r="H118" s="11" t="str">
        <f aca="false">IFERROR(F118/E118,"")</f>
        <v/>
      </c>
      <c r="I118" s="10" t="n">
        <f aca="false">SUMIFS(Closed_Deals!$M$2:$M$761,Closed_Deals!$B$2:$B$761,A118,Closed_Deals!$N$2:$N$761,"Won")</f>
        <v>0</v>
      </c>
      <c r="J118" s="10" t="str">
        <f aca="false">IFERROR(I118/F118,"")</f>
        <v/>
      </c>
      <c r="K118" s="8" t="str">
        <f aca="false">IF(F118=0,"",_xlfn.MINIFS(Closed_Deals!$R$2:$R$761,Closed_Deals!$B$2:$B$761,A118,Closed_Deals!$N$2:$N$761,"Won"))</f>
        <v/>
      </c>
      <c r="L118" s="8" t="str">
        <f aca="false">IF(F118=0,"",_xlfn.MAXIFS(Closed_Deals!$R$2:$R$761,Closed_Deals!$B$2:$B$761,A118,Closed_Deals!$N$2:$N$761,"Won"))</f>
        <v/>
      </c>
      <c r="M118" s="7" t="n">
        <f aca="false">COUNTIF(Open_Pipeline!$B$2:$B$151,A118)</f>
        <v>0</v>
      </c>
      <c r="N118" s="10" t="n">
        <f aca="false">SUMIF(Open_Pipeline!$B$2:$B$151,A118,Open_Pipeline!$M$2:$M$151)</f>
        <v>0</v>
      </c>
      <c r="O118" s="7" t="str">
        <f aca="true">IF(F118=0,"",TODAY()-L118)</f>
        <v/>
      </c>
      <c r="P118" s="7" t="str">
        <f aca="false">IF(F118&gt;=2,"Yes","No")</f>
        <v>No</v>
      </c>
      <c r="Q118" s="7" t="str">
        <f aca="false">IF(F118=0,"No Won Business",IF(M118&gt;0,"Active - In Pipeline",IF(O118&lt;=365,"Active",IF(O118&lt;=545,"At Risk","Churned"))))</f>
        <v>No Won Business</v>
      </c>
    </row>
    <row r="119" customFormat="false" ht="15" hidden="false" customHeight="false" outlineLevel="0" collapsed="false">
      <c r="A119" s="7" t="s">
        <v>321</v>
      </c>
      <c r="B119" s="7" t="s">
        <v>322</v>
      </c>
      <c r="C119" s="7" t="s">
        <v>201</v>
      </c>
      <c r="D119" s="7" t="s">
        <v>94</v>
      </c>
      <c r="E119" s="7" t="n">
        <f aca="false">COUNTIF(Closed_Deals!$B$2:$B$761,A119)</f>
        <v>6</v>
      </c>
      <c r="F119" s="7" t="n">
        <f aca="false">COUNTIFS(Closed_Deals!$B$2:$B$761,A119,Closed_Deals!$N$2:$N$761,"Won")</f>
        <v>1</v>
      </c>
      <c r="G119" s="7" t="n">
        <f aca="false">E119-F119</f>
        <v>5</v>
      </c>
      <c r="H119" s="11" t="n">
        <f aca="false">IFERROR(F119/E119,"")</f>
        <v>0.166666666666667</v>
      </c>
      <c r="I119" s="10" t="n">
        <f aca="false">SUMIFS(Closed_Deals!$M$2:$M$761,Closed_Deals!$B$2:$B$761,A119,Closed_Deals!$N$2:$N$761,"Won")</f>
        <v>77638.02</v>
      </c>
      <c r="J119" s="10" t="n">
        <f aca="false">IFERROR(I119/F119,"")</f>
        <v>77638.02</v>
      </c>
      <c r="K119" s="8" t="n">
        <f aca="false">IF(F119=0,"",_xlfn.MINIFS(Closed_Deals!$R$2:$R$761,Closed_Deals!$B$2:$B$761,A119,Closed_Deals!$N$2:$N$761,"Won"))</f>
        <v>45905</v>
      </c>
      <c r="L119" s="8" t="n">
        <f aca="false">IF(F119=0,"",_xlfn.MAXIFS(Closed_Deals!$R$2:$R$761,Closed_Deals!$B$2:$B$761,A119,Closed_Deals!$N$2:$N$761,"Won"))</f>
        <v>45905</v>
      </c>
      <c r="M119" s="7" t="n">
        <f aca="false">COUNTIF(Open_Pipeline!$B$2:$B$151,A119)</f>
        <v>1</v>
      </c>
      <c r="N119" s="10" t="n">
        <f aca="false">SUMIF(Open_Pipeline!$B$2:$B$151,A119,Open_Pipeline!$M$2:$M$151)</f>
        <v>81830.08</v>
      </c>
      <c r="O119" s="7" t="n">
        <f aca="true">IF(F119=0,"",TODAY()-L119)</f>
        <v>369</v>
      </c>
      <c r="P119" s="7" t="str">
        <f aca="false">IF(F119&gt;=2,"Yes","No")</f>
        <v>No</v>
      </c>
      <c r="Q119" s="7" t="str">
        <f aca="false">IF(F119=0,"No Won Business",IF(M119&gt;0,"Active - In Pipeline",IF(O119&lt;=365,"Active",IF(O119&lt;=545,"At Risk","Churned"))))</f>
        <v>Active - In Pipeline</v>
      </c>
    </row>
    <row r="120" customFormat="false" ht="15" hidden="false" customHeight="false" outlineLevel="0" collapsed="false">
      <c r="A120" s="7" t="s">
        <v>1542</v>
      </c>
      <c r="B120" s="7" t="s">
        <v>1543</v>
      </c>
      <c r="C120" s="7" t="s">
        <v>242</v>
      </c>
      <c r="D120" s="7" t="s">
        <v>115</v>
      </c>
      <c r="E120" s="7" t="n">
        <f aca="false">COUNTIF(Closed_Deals!$B$2:$B$761,A120)</f>
        <v>0</v>
      </c>
      <c r="F120" s="7" t="n">
        <f aca="false">COUNTIFS(Closed_Deals!$B$2:$B$761,A120,Closed_Deals!$N$2:$N$761,"Won")</f>
        <v>0</v>
      </c>
      <c r="G120" s="7" t="n">
        <f aca="false">E120-F120</f>
        <v>0</v>
      </c>
      <c r="H120" s="11" t="str">
        <f aca="false">IFERROR(F120/E120,"")</f>
        <v/>
      </c>
      <c r="I120" s="10" t="n">
        <f aca="false">SUMIFS(Closed_Deals!$M$2:$M$761,Closed_Deals!$B$2:$B$761,A120,Closed_Deals!$N$2:$N$761,"Won")</f>
        <v>0</v>
      </c>
      <c r="J120" s="10" t="str">
        <f aca="false">IFERROR(I120/F120,"")</f>
        <v/>
      </c>
      <c r="K120" s="8" t="str">
        <f aca="false">IF(F120=0,"",_xlfn.MINIFS(Closed_Deals!$R$2:$R$761,Closed_Deals!$B$2:$B$761,A120,Closed_Deals!$N$2:$N$761,"Won"))</f>
        <v/>
      </c>
      <c r="L120" s="8" t="str">
        <f aca="false">IF(F120=0,"",_xlfn.MAXIFS(Closed_Deals!$R$2:$R$761,Closed_Deals!$B$2:$B$761,A120,Closed_Deals!$N$2:$N$761,"Won"))</f>
        <v/>
      </c>
      <c r="M120" s="7" t="n">
        <f aca="false">COUNTIF(Open_Pipeline!$B$2:$B$151,A120)</f>
        <v>0</v>
      </c>
      <c r="N120" s="10" t="n">
        <f aca="false">SUMIF(Open_Pipeline!$B$2:$B$151,A120,Open_Pipeline!$M$2:$M$151)</f>
        <v>0</v>
      </c>
      <c r="O120" s="7" t="str">
        <f aca="true">IF(F120=0,"",TODAY()-L120)</f>
        <v/>
      </c>
      <c r="P120" s="7" t="str">
        <f aca="false">IF(F120&gt;=2,"Yes","No")</f>
        <v>No</v>
      </c>
      <c r="Q120" s="7" t="str">
        <f aca="false">IF(F120=0,"No Won Business",IF(M120&gt;0,"Active - In Pipeline",IF(O120&lt;=365,"Active",IF(O120&lt;=545,"At Risk","Churned"))))</f>
        <v>No Won Business</v>
      </c>
    </row>
    <row r="121" customFormat="false" ht="15" hidden="false" customHeight="false" outlineLevel="0" collapsed="false">
      <c r="A121" s="7" t="s">
        <v>1069</v>
      </c>
      <c r="B121" s="7" t="s">
        <v>1070</v>
      </c>
      <c r="C121" s="7" t="s">
        <v>201</v>
      </c>
      <c r="D121" s="7" t="s">
        <v>94</v>
      </c>
      <c r="E121" s="7" t="n">
        <f aca="false">COUNTIF(Closed_Deals!$B$2:$B$761,A121)</f>
        <v>1</v>
      </c>
      <c r="F121" s="7" t="n">
        <f aca="false">COUNTIFS(Closed_Deals!$B$2:$B$761,A121,Closed_Deals!$N$2:$N$761,"Won")</f>
        <v>0</v>
      </c>
      <c r="G121" s="7" t="n">
        <f aca="false">E121-F121</f>
        <v>1</v>
      </c>
      <c r="H121" s="11" t="n">
        <f aca="false">IFERROR(F121/E121,"")</f>
        <v>0</v>
      </c>
      <c r="I121" s="10" t="n">
        <f aca="false">SUMIFS(Closed_Deals!$M$2:$M$761,Closed_Deals!$B$2:$B$761,A121,Closed_Deals!$N$2:$N$761,"Won")</f>
        <v>0</v>
      </c>
      <c r="J121" s="10" t="str">
        <f aca="false">IFERROR(I121/F121,"")</f>
        <v/>
      </c>
      <c r="K121" s="8" t="str">
        <f aca="false">IF(F121=0,"",_xlfn.MINIFS(Closed_Deals!$R$2:$R$761,Closed_Deals!$B$2:$B$761,A121,Closed_Deals!$N$2:$N$761,"Won"))</f>
        <v/>
      </c>
      <c r="L121" s="8" t="str">
        <f aca="false">IF(F121=0,"",_xlfn.MAXIFS(Closed_Deals!$R$2:$R$761,Closed_Deals!$B$2:$B$761,A121,Closed_Deals!$N$2:$N$761,"Won"))</f>
        <v/>
      </c>
      <c r="M121" s="7" t="n">
        <f aca="false">COUNTIF(Open_Pipeline!$B$2:$B$151,A121)</f>
        <v>0</v>
      </c>
      <c r="N121" s="10" t="n">
        <f aca="false">SUMIF(Open_Pipeline!$B$2:$B$151,A121,Open_Pipeline!$M$2:$M$151)</f>
        <v>0</v>
      </c>
      <c r="O121" s="7" t="str">
        <f aca="true">IF(F121=0,"",TODAY()-L121)</f>
        <v/>
      </c>
      <c r="P121" s="7" t="str">
        <f aca="false">IF(F121&gt;=2,"Yes","No")</f>
        <v>No</v>
      </c>
      <c r="Q121" s="7" t="str">
        <f aca="false">IF(F121=0,"No Won Business",IF(M121&gt;0,"Active - In Pipeline",IF(O121&lt;=365,"Active",IF(O121&lt;=545,"At Risk","Churned"))))</f>
        <v>No Won Business</v>
      </c>
    </row>
    <row r="122" customFormat="false" ht="15" hidden="false" customHeight="false" outlineLevel="0" collapsed="false">
      <c r="A122" s="7" t="s">
        <v>247</v>
      </c>
      <c r="B122" s="7" t="s">
        <v>248</v>
      </c>
      <c r="C122" s="7" t="s">
        <v>195</v>
      </c>
      <c r="D122" s="7" t="s">
        <v>94</v>
      </c>
      <c r="E122" s="7" t="n">
        <f aca="false">COUNTIF(Closed_Deals!$B$2:$B$761,A122)</f>
        <v>1</v>
      </c>
      <c r="F122" s="7" t="n">
        <f aca="false">COUNTIFS(Closed_Deals!$B$2:$B$761,A122,Closed_Deals!$N$2:$N$761,"Won")</f>
        <v>0</v>
      </c>
      <c r="G122" s="7" t="n">
        <f aca="false">E122-F122</f>
        <v>1</v>
      </c>
      <c r="H122" s="11" t="n">
        <f aca="false">IFERROR(F122/E122,"")</f>
        <v>0</v>
      </c>
      <c r="I122" s="10" t="n">
        <f aca="false">SUMIFS(Closed_Deals!$M$2:$M$761,Closed_Deals!$B$2:$B$761,A122,Closed_Deals!$N$2:$N$761,"Won")</f>
        <v>0</v>
      </c>
      <c r="J122" s="10" t="str">
        <f aca="false">IFERROR(I122/F122,"")</f>
        <v/>
      </c>
      <c r="K122" s="8" t="str">
        <f aca="false">IF(F122=0,"",_xlfn.MINIFS(Closed_Deals!$R$2:$R$761,Closed_Deals!$B$2:$B$761,A122,Closed_Deals!$N$2:$N$761,"Won"))</f>
        <v/>
      </c>
      <c r="L122" s="8" t="str">
        <f aca="false">IF(F122=0,"",_xlfn.MAXIFS(Closed_Deals!$R$2:$R$761,Closed_Deals!$B$2:$B$761,A122,Closed_Deals!$N$2:$N$761,"Won"))</f>
        <v/>
      </c>
      <c r="M122" s="7" t="n">
        <f aca="false">COUNTIF(Open_Pipeline!$B$2:$B$151,A122)</f>
        <v>0</v>
      </c>
      <c r="N122" s="10" t="n">
        <f aca="false">SUMIF(Open_Pipeline!$B$2:$B$151,A122,Open_Pipeline!$M$2:$M$151)</f>
        <v>0</v>
      </c>
      <c r="O122" s="7" t="str">
        <f aca="true">IF(F122=0,"",TODAY()-L122)</f>
        <v/>
      </c>
      <c r="P122" s="7" t="str">
        <f aca="false">IF(F122&gt;=2,"Yes","No")</f>
        <v>No</v>
      </c>
      <c r="Q122" s="7" t="str">
        <f aca="false">IF(F122=0,"No Won Business",IF(M122&gt;0,"Active - In Pipeline",IF(O122&lt;=365,"Active",IF(O122&lt;=545,"At Risk","Churned"))))</f>
        <v>No Won Business</v>
      </c>
    </row>
    <row r="123" customFormat="false" ht="15" hidden="false" customHeight="false" outlineLevel="0" collapsed="false">
      <c r="A123" s="7" t="s">
        <v>747</v>
      </c>
      <c r="B123" s="7" t="s">
        <v>748</v>
      </c>
      <c r="C123" s="7" t="s">
        <v>195</v>
      </c>
      <c r="D123" s="7" t="s">
        <v>105</v>
      </c>
      <c r="E123" s="7" t="n">
        <f aca="false">COUNTIF(Closed_Deals!$B$2:$B$761,A123)</f>
        <v>4</v>
      </c>
      <c r="F123" s="7" t="n">
        <f aca="false">COUNTIFS(Closed_Deals!$B$2:$B$761,A123,Closed_Deals!$N$2:$N$761,"Won")</f>
        <v>2</v>
      </c>
      <c r="G123" s="7" t="n">
        <f aca="false">E123-F123</f>
        <v>2</v>
      </c>
      <c r="H123" s="11" t="n">
        <f aca="false">IFERROR(F123/E123,"")</f>
        <v>0.5</v>
      </c>
      <c r="I123" s="10" t="n">
        <f aca="false">SUMIFS(Closed_Deals!$M$2:$M$761,Closed_Deals!$B$2:$B$761,A123,Closed_Deals!$N$2:$N$761,"Won")</f>
        <v>134125.18</v>
      </c>
      <c r="J123" s="10" t="n">
        <f aca="false">IFERROR(I123/F123,"")</f>
        <v>67062.59</v>
      </c>
      <c r="K123" s="8" t="n">
        <f aca="false">IF(F123=0,"",_xlfn.MINIFS(Closed_Deals!$R$2:$R$761,Closed_Deals!$B$2:$B$761,A123,Closed_Deals!$N$2:$N$761,"Won"))</f>
        <v>45948</v>
      </c>
      <c r="L123" s="8" t="n">
        <f aca="false">IF(F123=0,"",_xlfn.MAXIFS(Closed_Deals!$R$2:$R$761,Closed_Deals!$B$2:$B$761,A123,Closed_Deals!$N$2:$N$761,"Won"))</f>
        <v>46001</v>
      </c>
      <c r="M123" s="7" t="n">
        <f aca="false">COUNTIF(Open_Pipeline!$B$2:$B$151,A123)</f>
        <v>2</v>
      </c>
      <c r="N123" s="10" t="n">
        <f aca="false">SUMIF(Open_Pipeline!$B$2:$B$151,A123,Open_Pipeline!$M$2:$M$151)</f>
        <v>262897.75</v>
      </c>
      <c r="O123" s="7" t="n">
        <f aca="true">IF(F123=0,"",TODAY()-L123)</f>
        <v>273</v>
      </c>
      <c r="P123" s="7" t="str">
        <f aca="false">IF(F123&gt;=2,"Yes","No")</f>
        <v>Yes</v>
      </c>
      <c r="Q123" s="7" t="str">
        <f aca="false">IF(F123=0,"No Won Business",IF(M123&gt;0,"Active - In Pipeline",IF(O123&lt;=365,"Active",IF(O123&lt;=545,"At Risk","Churned"))))</f>
        <v>Active - In Pipeline</v>
      </c>
    </row>
    <row r="124" customFormat="false" ht="15" hidden="false" customHeight="false" outlineLevel="0" collapsed="false">
      <c r="A124" s="7" t="s">
        <v>1368</v>
      </c>
      <c r="B124" s="7" t="s">
        <v>1369</v>
      </c>
      <c r="C124" s="7" t="s">
        <v>201</v>
      </c>
      <c r="D124" s="7" t="s">
        <v>94</v>
      </c>
      <c r="E124" s="7" t="n">
        <f aca="false">COUNTIF(Closed_Deals!$B$2:$B$761,A124)</f>
        <v>0</v>
      </c>
      <c r="F124" s="7" t="n">
        <f aca="false">COUNTIFS(Closed_Deals!$B$2:$B$761,A124,Closed_Deals!$N$2:$N$761,"Won")</f>
        <v>0</v>
      </c>
      <c r="G124" s="7" t="n">
        <f aca="false">E124-F124</f>
        <v>0</v>
      </c>
      <c r="H124" s="11" t="str">
        <f aca="false">IFERROR(F124/E124,"")</f>
        <v/>
      </c>
      <c r="I124" s="10" t="n">
        <f aca="false">SUMIFS(Closed_Deals!$M$2:$M$761,Closed_Deals!$B$2:$B$761,A124,Closed_Deals!$N$2:$N$761,"Won")</f>
        <v>0</v>
      </c>
      <c r="J124" s="10" t="str">
        <f aca="false">IFERROR(I124/F124,"")</f>
        <v/>
      </c>
      <c r="K124" s="8" t="str">
        <f aca="false">IF(F124=0,"",_xlfn.MINIFS(Closed_Deals!$R$2:$R$761,Closed_Deals!$B$2:$B$761,A124,Closed_Deals!$N$2:$N$761,"Won"))</f>
        <v/>
      </c>
      <c r="L124" s="8" t="str">
        <f aca="false">IF(F124=0,"",_xlfn.MAXIFS(Closed_Deals!$R$2:$R$761,Closed_Deals!$B$2:$B$761,A124,Closed_Deals!$N$2:$N$761,"Won"))</f>
        <v/>
      </c>
      <c r="M124" s="7" t="n">
        <f aca="false">COUNTIF(Open_Pipeline!$B$2:$B$151,A124)</f>
        <v>1</v>
      </c>
      <c r="N124" s="10" t="n">
        <f aca="false">SUMIF(Open_Pipeline!$B$2:$B$151,A124,Open_Pipeline!$M$2:$M$151)</f>
        <v>52562.16</v>
      </c>
      <c r="O124" s="7" t="str">
        <f aca="true">IF(F124=0,"",TODAY()-L124)</f>
        <v/>
      </c>
      <c r="P124" s="7" t="str">
        <f aca="false">IF(F124&gt;=2,"Yes","No")</f>
        <v>No</v>
      </c>
      <c r="Q124" s="7" t="str">
        <f aca="false">IF(F124=0,"No Won Business",IF(M124&gt;0,"Active - In Pipeline",IF(O124&lt;=365,"Active",IF(O124&lt;=545,"At Risk","Churned"))))</f>
        <v>No Won Business</v>
      </c>
    </row>
    <row r="125" customFormat="false" ht="15" hidden="false" customHeight="false" outlineLevel="0" collapsed="false">
      <c r="A125" s="7" t="s">
        <v>268</v>
      </c>
      <c r="B125" s="7" t="s">
        <v>269</v>
      </c>
      <c r="C125" s="7" t="s">
        <v>104</v>
      </c>
      <c r="D125" s="7" t="s">
        <v>105</v>
      </c>
      <c r="E125" s="7" t="n">
        <f aca="false">COUNTIF(Closed_Deals!$B$2:$B$761,A125)</f>
        <v>3</v>
      </c>
      <c r="F125" s="7" t="n">
        <f aca="false">COUNTIFS(Closed_Deals!$B$2:$B$761,A125,Closed_Deals!$N$2:$N$761,"Won")</f>
        <v>0</v>
      </c>
      <c r="G125" s="7" t="n">
        <f aca="false">E125-F125</f>
        <v>3</v>
      </c>
      <c r="H125" s="11" t="n">
        <f aca="false">IFERROR(F125/E125,"")</f>
        <v>0</v>
      </c>
      <c r="I125" s="10" t="n">
        <f aca="false">SUMIFS(Closed_Deals!$M$2:$M$761,Closed_Deals!$B$2:$B$761,A125,Closed_Deals!$N$2:$N$761,"Won")</f>
        <v>0</v>
      </c>
      <c r="J125" s="10" t="str">
        <f aca="false">IFERROR(I125/F125,"")</f>
        <v/>
      </c>
      <c r="K125" s="8" t="str">
        <f aca="false">IF(F125=0,"",_xlfn.MINIFS(Closed_Deals!$R$2:$R$761,Closed_Deals!$B$2:$B$761,A125,Closed_Deals!$N$2:$N$761,"Won"))</f>
        <v/>
      </c>
      <c r="L125" s="8" t="str">
        <f aca="false">IF(F125=0,"",_xlfn.MAXIFS(Closed_Deals!$R$2:$R$761,Closed_Deals!$B$2:$B$761,A125,Closed_Deals!$N$2:$N$761,"Won"))</f>
        <v/>
      </c>
      <c r="M125" s="7" t="n">
        <f aca="false">COUNTIF(Open_Pipeline!$B$2:$B$151,A125)</f>
        <v>1</v>
      </c>
      <c r="N125" s="10" t="n">
        <f aca="false">SUMIF(Open_Pipeline!$B$2:$B$151,A125,Open_Pipeline!$M$2:$M$151)</f>
        <v>102030.77</v>
      </c>
      <c r="O125" s="7" t="str">
        <f aca="true">IF(F125=0,"",TODAY()-L125)</f>
        <v/>
      </c>
      <c r="P125" s="7" t="str">
        <f aca="false">IF(F125&gt;=2,"Yes","No")</f>
        <v>No</v>
      </c>
      <c r="Q125" s="7" t="str">
        <f aca="false">IF(F125=0,"No Won Business",IF(M125&gt;0,"Active - In Pipeline",IF(O125&lt;=365,"Active",IF(O125&lt;=545,"At Risk","Churned"))))</f>
        <v>No Won Business</v>
      </c>
    </row>
    <row r="126" customFormat="false" ht="15" hidden="false" customHeight="false" outlineLevel="0" collapsed="false">
      <c r="A126" s="7" t="s">
        <v>273</v>
      </c>
      <c r="B126" s="7" t="s">
        <v>274</v>
      </c>
      <c r="C126" s="7" t="s">
        <v>195</v>
      </c>
      <c r="D126" s="7" t="s">
        <v>94</v>
      </c>
      <c r="E126" s="7" t="n">
        <f aca="false">COUNTIF(Closed_Deals!$B$2:$B$761,A126)</f>
        <v>9</v>
      </c>
      <c r="F126" s="7" t="n">
        <f aca="false">COUNTIFS(Closed_Deals!$B$2:$B$761,A126,Closed_Deals!$N$2:$N$761,"Won")</f>
        <v>2</v>
      </c>
      <c r="G126" s="7" t="n">
        <f aca="false">E126-F126</f>
        <v>7</v>
      </c>
      <c r="H126" s="11" t="n">
        <f aca="false">IFERROR(F126/E126,"")</f>
        <v>0.222222222222222</v>
      </c>
      <c r="I126" s="10" t="n">
        <f aca="false">SUMIFS(Closed_Deals!$M$2:$M$761,Closed_Deals!$B$2:$B$761,A126,Closed_Deals!$N$2:$N$761,"Won")</f>
        <v>233186.33</v>
      </c>
      <c r="J126" s="10" t="n">
        <f aca="false">IFERROR(I126/F126,"")</f>
        <v>116593.165</v>
      </c>
      <c r="K126" s="8" t="n">
        <f aca="false">IF(F126=0,"",_xlfn.MINIFS(Closed_Deals!$R$2:$R$761,Closed_Deals!$B$2:$B$761,A126,Closed_Deals!$N$2:$N$761,"Won"))</f>
        <v>45439</v>
      </c>
      <c r="L126" s="8" t="n">
        <f aca="false">IF(F126=0,"",_xlfn.MAXIFS(Closed_Deals!$R$2:$R$761,Closed_Deals!$B$2:$B$761,A126,Closed_Deals!$N$2:$N$761,"Won"))</f>
        <v>45533</v>
      </c>
      <c r="M126" s="7" t="n">
        <f aca="false">COUNTIF(Open_Pipeline!$B$2:$B$151,A126)</f>
        <v>1</v>
      </c>
      <c r="N126" s="10" t="n">
        <f aca="false">SUMIF(Open_Pipeline!$B$2:$B$151,A126,Open_Pipeline!$M$2:$M$151)</f>
        <v>193792.85</v>
      </c>
      <c r="O126" s="7" t="n">
        <f aca="true">IF(F126=0,"",TODAY()-L126)</f>
        <v>741</v>
      </c>
      <c r="P126" s="7" t="str">
        <f aca="false">IF(F126&gt;=2,"Yes","No")</f>
        <v>Yes</v>
      </c>
      <c r="Q126" s="7" t="str">
        <f aca="false">IF(F126=0,"No Won Business",IF(M126&gt;0,"Active - In Pipeline",IF(O126&lt;=365,"Active",IF(O126&lt;=545,"At Risk","Churned"))))</f>
        <v>Active - In Pipeline</v>
      </c>
    </row>
    <row r="127" customFormat="false" ht="15" hidden="false" customHeight="false" outlineLevel="0" collapsed="false">
      <c r="A127" s="7" t="s">
        <v>1544</v>
      </c>
      <c r="B127" s="7" t="s">
        <v>1545</v>
      </c>
      <c r="C127" s="7" t="s">
        <v>195</v>
      </c>
      <c r="D127" s="7" t="s">
        <v>105</v>
      </c>
      <c r="E127" s="7" t="n">
        <f aca="false">COUNTIF(Closed_Deals!$B$2:$B$761,A127)</f>
        <v>0</v>
      </c>
      <c r="F127" s="7" t="n">
        <f aca="false">COUNTIFS(Closed_Deals!$B$2:$B$761,A127,Closed_Deals!$N$2:$N$761,"Won")</f>
        <v>0</v>
      </c>
      <c r="G127" s="7" t="n">
        <f aca="false">E127-F127</f>
        <v>0</v>
      </c>
      <c r="H127" s="11" t="str">
        <f aca="false">IFERROR(F127/E127,"")</f>
        <v/>
      </c>
      <c r="I127" s="10" t="n">
        <f aca="false">SUMIFS(Closed_Deals!$M$2:$M$761,Closed_Deals!$B$2:$B$761,A127,Closed_Deals!$N$2:$N$761,"Won")</f>
        <v>0</v>
      </c>
      <c r="J127" s="10" t="str">
        <f aca="false">IFERROR(I127/F127,"")</f>
        <v/>
      </c>
      <c r="K127" s="8" t="str">
        <f aca="false">IF(F127=0,"",_xlfn.MINIFS(Closed_Deals!$R$2:$R$761,Closed_Deals!$B$2:$B$761,A127,Closed_Deals!$N$2:$N$761,"Won"))</f>
        <v/>
      </c>
      <c r="L127" s="8" t="str">
        <f aca="false">IF(F127=0,"",_xlfn.MAXIFS(Closed_Deals!$R$2:$R$761,Closed_Deals!$B$2:$B$761,A127,Closed_Deals!$N$2:$N$761,"Won"))</f>
        <v/>
      </c>
      <c r="M127" s="7" t="n">
        <f aca="false">COUNTIF(Open_Pipeline!$B$2:$B$151,A127)</f>
        <v>0</v>
      </c>
      <c r="N127" s="10" t="n">
        <f aca="false">SUMIF(Open_Pipeline!$B$2:$B$151,A127,Open_Pipeline!$M$2:$M$151)</f>
        <v>0</v>
      </c>
      <c r="O127" s="7" t="str">
        <f aca="true">IF(F127=0,"",TODAY()-L127)</f>
        <v/>
      </c>
      <c r="P127" s="7" t="str">
        <f aca="false">IF(F127&gt;=2,"Yes","No")</f>
        <v>No</v>
      </c>
      <c r="Q127" s="7" t="str">
        <f aca="false">IF(F127=0,"No Won Business",IF(M127&gt;0,"Active - In Pipeline",IF(O127&lt;=365,"Active",IF(O127&lt;=545,"At Risk","Churned"))))</f>
        <v>No Won Business</v>
      </c>
    </row>
    <row r="128" customFormat="false" ht="15" hidden="false" customHeight="false" outlineLevel="0" collapsed="false">
      <c r="A128" s="7" t="s">
        <v>1546</v>
      </c>
      <c r="B128" s="7" t="s">
        <v>1547</v>
      </c>
      <c r="C128" s="7" t="s">
        <v>151</v>
      </c>
      <c r="D128" s="7" t="s">
        <v>94</v>
      </c>
      <c r="E128" s="7" t="n">
        <f aca="false">COUNTIF(Closed_Deals!$B$2:$B$761,A128)</f>
        <v>0</v>
      </c>
      <c r="F128" s="7" t="n">
        <f aca="false">COUNTIFS(Closed_Deals!$B$2:$B$761,A128,Closed_Deals!$N$2:$N$761,"Won")</f>
        <v>0</v>
      </c>
      <c r="G128" s="7" t="n">
        <f aca="false">E128-F128</f>
        <v>0</v>
      </c>
      <c r="H128" s="11" t="str">
        <f aca="false">IFERROR(F128/E128,"")</f>
        <v/>
      </c>
      <c r="I128" s="10" t="n">
        <f aca="false">SUMIFS(Closed_Deals!$M$2:$M$761,Closed_Deals!$B$2:$B$761,A128,Closed_Deals!$N$2:$N$761,"Won")</f>
        <v>0</v>
      </c>
      <c r="J128" s="10" t="str">
        <f aca="false">IFERROR(I128/F128,"")</f>
        <v/>
      </c>
      <c r="K128" s="8" t="str">
        <f aca="false">IF(F128=0,"",_xlfn.MINIFS(Closed_Deals!$R$2:$R$761,Closed_Deals!$B$2:$B$761,A128,Closed_Deals!$N$2:$N$761,"Won"))</f>
        <v/>
      </c>
      <c r="L128" s="8" t="str">
        <f aca="false">IF(F128=0,"",_xlfn.MAXIFS(Closed_Deals!$R$2:$R$761,Closed_Deals!$B$2:$B$761,A128,Closed_Deals!$N$2:$N$761,"Won"))</f>
        <v/>
      </c>
      <c r="M128" s="7" t="n">
        <f aca="false">COUNTIF(Open_Pipeline!$B$2:$B$151,A128)</f>
        <v>0</v>
      </c>
      <c r="N128" s="10" t="n">
        <f aca="false">SUMIF(Open_Pipeline!$B$2:$B$151,A128,Open_Pipeline!$M$2:$M$151)</f>
        <v>0</v>
      </c>
      <c r="O128" s="7" t="str">
        <f aca="true">IF(F128=0,"",TODAY()-L128)</f>
        <v/>
      </c>
      <c r="P128" s="7" t="str">
        <f aca="false">IF(F128&gt;=2,"Yes","No")</f>
        <v>No</v>
      </c>
      <c r="Q128" s="7" t="str">
        <f aca="false">IF(F128=0,"No Won Business",IF(M128&gt;0,"Active - In Pipeline",IF(O128&lt;=365,"Active",IF(O128&lt;=545,"At Risk","Churned"))))</f>
        <v>No Won Business</v>
      </c>
    </row>
    <row r="129" customFormat="false" ht="15" hidden="false" customHeight="false" outlineLevel="0" collapsed="false">
      <c r="A129" s="7" t="s">
        <v>327</v>
      </c>
      <c r="B129" s="7" t="s">
        <v>328</v>
      </c>
      <c r="C129" s="7" t="s">
        <v>201</v>
      </c>
      <c r="D129" s="7" t="s">
        <v>94</v>
      </c>
      <c r="E129" s="7" t="n">
        <f aca="false">COUNTIF(Closed_Deals!$B$2:$B$761,A129)</f>
        <v>4</v>
      </c>
      <c r="F129" s="7" t="n">
        <f aca="false">COUNTIFS(Closed_Deals!$B$2:$B$761,A129,Closed_Deals!$N$2:$N$761,"Won")</f>
        <v>1</v>
      </c>
      <c r="G129" s="7" t="n">
        <f aca="false">E129-F129</f>
        <v>3</v>
      </c>
      <c r="H129" s="11" t="n">
        <f aca="false">IFERROR(F129/E129,"")</f>
        <v>0.25</v>
      </c>
      <c r="I129" s="10" t="n">
        <f aca="false">SUMIFS(Closed_Deals!$M$2:$M$761,Closed_Deals!$B$2:$B$761,A129,Closed_Deals!$N$2:$N$761,"Won")</f>
        <v>80488.69</v>
      </c>
      <c r="J129" s="10" t="n">
        <f aca="false">IFERROR(I129/F129,"")</f>
        <v>80488.69</v>
      </c>
      <c r="K129" s="8" t="n">
        <f aca="false">IF(F129=0,"",_xlfn.MINIFS(Closed_Deals!$R$2:$R$761,Closed_Deals!$B$2:$B$761,A129,Closed_Deals!$N$2:$N$761,"Won"))</f>
        <v>45606</v>
      </c>
      <c r="L129" s="8" t="n">
        <f aca="false">IF(F129=0,"",_xlfn.MAXIFS(Closed_Deals!$R$2:$R$761,Closed_Deals!$B$2:$B$761,A129,Closed_Deals!$N$2:$N$761,"Won"))</f>
        <v>45606</v>
      </c>
      <c r="M129" s="7" t="n">
        <f aca="false">COUNTIF(Open_Pipeline!$B$2:$B$151,A129)</f>
        <v>1</v>
      </c>
      <c r="N129" s="10" t="n">
        <f aca="false">SUMIF(Open_Pipeline!$B$2:$B$151,A129,Open_Pipeline!$M$2:$M$151)</f>
        <v>198387.46</v>
      </c>
      <c r="O129" s="7" t="n">
        <f aca="true">IF(F129=0,"",TODAY()-L129)</f>
        <v>668</v>
      </c>
      <c r="P129" s="7" t="str">
        <f aca="false">IF(F129&gt;=2,"Yes","No")</f>
        <v>No</v>
      </c>
      <c r="Q129" s="7" t="str">
        <f aca="false">IF(F129=0,"No Won Business",IF(M129&gt;0,"Active - In Pipeline",IF(O129&lt;=365,"Active",IF(O129&lt;=545,"At Risk","Churned"))))</f>
        <v>Active - In Pipeline</v>
      </c>
    </row>
    <row r="130" customFormat="false" ht="15" hidden="false" customHeight="false" outlineLevel="0" collapsed="false">
      <c r="A130" s="7" t="s">
        <v>497</v>
      </c>
      <c r="B130" s="7" t="s">
        <v>498</v>
      </c>
      <c r="C130" s="7" t="s">
        <v>135</v>
      </c>
      <c r="D130" s="7" t="s">
        <v>162</v>
      </c>
      <c r="E130" s="7" t="n">
        <f aca="false">COUNTIF(Closed_Deals!$B$2:$B$761,A130)</f>
        <v>3</v>
      </c>
      <c r="F130" s="7" t="n">
        <f aca="false">COUNTIFS(Closed_Deals!$B$2:$B$761,A130,Closed_Deals!$N$2:$N$761,"Won")</f>
        <v>1</v>
      </c>
      <c r="G130" s="7" t="n">
        <f aca="false">E130-F130</f>
        <v>2</v>
      </c>
      <c r="H130" s="11" t="n">
        <f aca="false">IFERROR(F130/E130,"")</f>
        <v>0.333333333333333</v>
      </c>
      <c r="I130" s="10" t="n">
        <f aca="false">SUMIFS(Closed_Deals!$M$2:$M$761,Closed_Deals!$B$2:$B$761,A130,Closed_Deals!$N$2:$N$761,"Won")</f>
        <v>178562.99</v>
      </c>
      <c r="J130" s="10" t="n">
        <f aca="false">IFERROR(I130/F130,"")</f>
        <v>178562.99</v>
      </c>
      <c r="K130" s="8" t="n">
        <f aca="false">IF(F130=0,"",_xlfn.MINIFS(Closed_Deals!$R$2:$R$761,Closed_Deals!$B$2:$B$761,A130,Closed_Deals!$N$2:$N$761,"Won"))</f>
        <v>45774</v>
      </c>
      <c r="L130" s="8" t="n">
        <f aca="false">IF(F130=0,"",_xlfn.MAXIFS(Closed_Deals!$R$2:$R$761,Closed_Deals!$B$2:$B$761,A130,Closed_Deals!$N$2:$N$761,"Won"))</f>
        <v>45774</v>
      </c>
      <c r="M130" s="7" t="n">
        <f aca="false">COUNTIF(Open_Pipeline!$B$2:$B$151,A130)</f>
        <v>0</v>
      </c>
      <c r="N130" s="10" t="n">
        <f aca="false">SUMIF(Open_Pipeline!$B$2:$B$151,A130,Open_Pipeline!$M$2:$M$151)</f>
        <v>0</v>
      </c>
      <c r="O130" s="7" t="n">
        <f aca="true">IF(F130=0,"",TODAY()-L130)</f>
        <v>500</v>
      </c>
      <c r="P130" s="7" t="str">
        <f aca="false">IF(F130&gt;=2,"Yes","No")</f>
        <v>No</v>
      </c>
      <c r="Q130" s="7" t="str">
        <f aca="false">IF(F130=0,"No Won Business",IF(M130&gt;0,"Active - In Pipeline",IF(O130&lt;=365,"Active",IF(O130&lt;=545,"At Risk","Churned"))))</f>
        <v>At Risk</v>
      </c>
    </row>
    <row r="131" customFormat="false" ht="15" hidden="false" customHeight="false" outlineLevel="0" collapsed="false">
      <c r="A131" s="7" t="s">
        <v>535</v>
      </c>
      <c r="B131" s="7" t="s">
        <v>536</v>
      </c>
      <c r="C131" s="7" t="s">
        <v>104</v>
      </c>
      <c r="D131" s="7" t="s">
        <v>105</v>
      </c>
      <c r="E131" s="7" t="n">
        <f aca="false">COUNTIF(Closed_Deals!$B$2:$B$761,A131)</f>
        <v>2</v>
      </c>
      <c r="F131" s="7" t="n">
        <f aca="false">COUNTIFS(Closed_Deals!$B$2:$B$761,A131,Closed_Deals!$N$2:$N$761,"Won")</f>
        <v>1</v>
      </c>
      <c r="G131" s="7" t="n">
        <f aca="false">E131-F131</f>
        <v>1</v>
      </c>
      <c r="H131" s="11" t="n">
        <f aca="false">IFERROR(F131/E131,"")</f>
        <v>0.5</v>
      </c>
      <c r="I131" s="10" t="n">
        <f aca="false">SUMIFS(Closed_Deals!$M$2:$M$761,Closed_Deals!$B$2:$B$761,A131,Closed_Deals!$N$2:$N$761,"Won")</f>
        <v>123246.1</v>
      </c>
      <c r="J131" s="10" t="n">
        <f aca="false">IFERROR(I131/F131,"")</f>
        <v>123246.1</v>
      </c>
      <c r="K131" s="8" t="n">
        <f aca="false">IF(F131=0,"",_xlfn.MINIFS(Closed_Deals!$R$2:$R$761,Closed_Deals!$B$2:$B$761,A131,Closed_Deals!$N$2:$N$761,"Won"))</f>
        <v>45614</v>
      </c>
      <c r="L131" s="8" t="n">
        <f aca="false">IF(F131=0,"",_xlfn.MAXIFS(Closed_Deals!$R$2:$R$761,Closed_Deals!$B$2:$B$761,A131,Closed_Deals!$N$2:$N$761,"Won"))</f>
        <v>45614</v>
      </c>
      <c r="M131" s="7" t="n">
        <f aca="false">COUNTIF(Open_Pipeline!$B$2:$B$151,A131)</f>
        <v>0</v>
      </c>
      <c r="N131" s="10" t="n">
        <f aca="false">SUMIF(Open_Pipeline!$B$2:$B$151,A131,Open_Pipeline!$M$2:$M$151)</f>
        <v>0</v>
      </c>
      <c r="O131" s="7" t="n">
        <f aca="true">IF(F131=0,"",TODAY()-L131)</f>
        <v>660</v>
      </c>
      <c r="P131" s="7" t="str">
        <f aca="false">IF(F131&gt;=2,"Yes","No")</f>
        <v>No</v>
      </c>
      <c r="Q131" s="7" t="str">
        <f aca="false">IF(F131=0,"No Won Business",IF(M131&gt;0,"Active - In Pipeline",IF(O131&lt;=365,"Active",IF(O131&lt;=545,"At Risk","Churned"))))</f>
        <v>Churned</v>
      </c>
    </row>
    <row r="132" customFormat="false" ht="15" hidden="false" customHeight="false" outlineLevel="0" collapsed="false">
      <c r="A132" s="7" t="s">
        <v>875</v>
      </c>
      <c r="B132" s="7" t="s">
        <v>876</v>
      </c>
      <c r="C132" s="7" t="s">
        <v>114</v>
      </c>
      <c r="D132" s="7" t="s">
        <v>162</v>
      </c>
      <c r="E132" s="7" t="n">
        <f aca="false">COUNTIF(Closed_Deals!$B$2:$B$761,A132)</f>
        <v>3</v>
      </c>
      <c r="F132" s="7" t="n">
        <f aca="false">COUNTIFS(Closed_Deals!$B$2:$B$761,A132,Closed_Deals!$N$2:$N$761,"Won")</f>
        <v>1</v>
      </c>
      <c r="G132" s="7" t="n">
        <f aca="false">E132-F132</f>
        <v>2</v>
      </c>
      <c r="H132" s="11" t="n">
        <f aca="false">IFERROR(F132/E132,"")</f>
        <v>0.333333333333333</v>
      </c>
      <c r="I132" s="10" t="n">
        <f aca="false">SUMIFS(Closed_Deals!$M$2:$M$761,Closed_Deals!$B$2:$B$761,A132,Closed_Deals!$N$2:$N$761,"Won")</f>
        <v>118346.98</v>
      </c>
      <c r="J132" s="10" t="n">
        <f aca="false">IFERROR(I132/F132,"")</f>
        <v>118346.98</v>
      </c>
      <c r="K132" s="8" t="n">
        <f aca="false">IF(F132=0,"",_xlfn.MINIFS(Closed_Deals!$R$2:$R$761,Closed_Deals!$B$2:$B$761,A132,Closed_Deals!$N$2:$N$761,"Won"))</f>
        <v>45908</v>
      </c>
      <c r="L132" s="8" t="n">
        <f aca="false">IF(F132=0,"",_xlfn.MAXIFS(Closed_Deals!$R$2:$R$761,Closed_Deals!$B$2:$B$761,A132,Closed_Deals!$N$2:$N$761,"Won"))</f>
        <v>45908</v>
      </c>
      <c r="M132" s="7" t="n">
        <f aca="false">COUNTIF(Open_Pipeline!$B$2:$B$151,A132)</f>
        <v>1</v>
      </c>
      <c r="N132" s="10" t="n">
        <f aca="false">SUMIF(Open_Pipeline!$B$2:$B$151,A132,Open_Pipeline!$M$2:$M$151)</f>
        <v>82829.69</v>
      </c>
      <c r="O132" s="7" t="n">
        <f aca="true">IF(F132=0,"",TODAY()-L132)</f>
        <v>366</v>
      </c>
      <c r="P132" s="7" t="str">
        <f aca="false">IF(F132&gt;=2,"Yes","No")</f>
        <v>No</v>
      </c>
      <c r="Q132" s="7" t="str">
        <f aca="false">IF(F132=0,"No Won Business",IF(M132&gt;0,"Active - In Pipeline",IF(O132&lt;=365,"Active",IF(O132&lt;=545,"At Risk","Churned"))))</f>
        <v>Active - In Pipeline</v>
      </c>
    </row>
    <row r="133" customFormat="false" ht="15" hidden="false" customHeight="false" outlineLevel="0" collapsed="false">
      <c r="A133" s="7" t="s">
        <v>120</v>
      </c>
      <c r="B133" s="7" t="s">
        <v>121</v>
      </c>
      <c r="C133" s="7" t="s">
        <v>104</v>
      </c>
      <c r="D133" s="7" t="s">
        <v>105</v>
      </c>
      <c r="E133" s="7" t="n">
        <f aca="false">COUNTIF(Closed_Deals!$B$2:$B$761,A133)</f>
        <v>8</v>
      </c>
      <c r="F133" s="7" t="n">
        <f aca="false">COUNTIFS(Closed_Deals!$B$2:$B$761,A133,Closed_Deals!$N$2:$N$761,"Won")</f>
        <v>3</v>
      </c>
      <c r="G133" s="7" t="n">
        <f aca="false">E133-F133</f>
        <v>5</v>
      </c>
      <c r="H133" s="11" t="n">
        <f aca="false">IFERROR(F133/E133,"")</f>
        <v>0.375</v>
      </c>
      <c r="I133" s="10" t="n">
        <f aca="false">SUMIFS(Closed_Deals!$M$2:$M$761,Closed_Deals!$B$2:$B$761,A133,Closed_Deals!$N$2:$N$761,"Won")</f>
        <v>324775.36</v>
      </c>
      <c r="J133" s="10" t="n">
        <f aca="false">IFERROR(I133/F133,"")</f>
        <v>108258.453333333</v>
      </c>
      <c r="K133" s="8" t="n">
        <f aca="false">IF(F133=0,"",_xlfn.MINIFS(Closed_Deals!$R$2:$R$761,Closed_Deals!$B$2:$B$761,A133,Closed_Deals!$N$2:$N$761,"Won"))</f>
        <v>46039</v>
      </c>
      <c r="L133" s="8" t="n">
        <f aca="false">IF(F133=0,"",_xlfn.MAXIFS(Closed_Deals!$R$2:$R$761,Closed_Deals!$B$2:$B$761,A133,Closed_Deals!$N$2:$N$761,"Won"))</f>
        <v>46402</v>
      </c>
      <c r="M133" s="7" t="n">
        <f aca="false">COUNTIF(Open_Pipeline!$B$2:$B$151,A133)</f>
        <v>2</v>
      </c>
      <c r="N133" s="10" t="n">
        <f aca="false">SUMIF(Open_Pipeline!$B$2:$B$151,A133,Open_Pipeline!$M$2:$M$151)</f>
        <v>314128.17</v>
      </c>
      <c r="O133" s="7" t="n">
        <f aca="true">IF(F133=0,"",TODAY()-L133)</f>
        <v>-128</v>
      </c>
      <c r="P133" s="7" t="str">
        <f aca="false">IF(F133&gt;=2,"Yes","No")</f>
        <v>Yes</v>
      </c>
      <c r="Q133" s="7" t="str">
        <f aca="false">IF(F133=0,"No Won Business",IF(M133&gt;0,"Active - In Pipeline",IF(O133&lt;=365,"Active",IF(O133&lt;=545,"At Risk","Churned"))))</f>
        <v>Active - In Pipeline</v>
      </c>
    </row>
    <row r="134" customFormat="false" ht="15" hidden="false" customHeight="false" outlineLevel="0" collapsed="false">
      <c r="A134" s="7" t="s">
        <v>490</v>
      </c>
      <c r="B134" s="7" t="s">
        <v>491</v>
      </c>
      <c r="C134" s="7" t="s">
        <v>195</v>
      </c>
      <c r="D134" s="7" t="s">
        <v>162</v>
      </c>
      <c r="E134" s="7" t="n">
        <f aca="false">COUNTIF(Closed_Deals!$B$2:$B$761,A134)</f>
        <v>8</v>
      </c>
      <c r="F134" s="7" t="n">
        <f aca="false">COUNTIFS(Closed_Deals!$B$2:$B$761,A134,Closed_Deals!$N$2:$N$761,"Won")</f>
        <v>3</v>
      </c>
      <c r="G134" s="7" t="n">
        <f aca="false">E134-F134</f>
        <v>5</v>
      </c>
      <c r="H134" s="11" t="n">
        <f aca="false">IFERROR(F134/E134,"")</f>
        <v>0.375</v>
      </c>
      <c r="I134" s="10" t="n">
        <f aca="false">SUMIFS(Closed_Deals!$M$2:$M$761,Closed_Deals!$B$2:$B$761,A134,Closed_Deals!$N$2:$N$761,"Won")</f>
        <v>209645.16</v>
      </c>
      <c r="J134" s="10" t="n">
        <f aca="false">IFERROR(I134/F134,"")</f>
        <v>69881.72</v>
      </c>
      <c r="K134" s="8" t="n">
        <f aca="false">IF(F134=0,"",_xlfn.MINIFS(Closed_Deals!$R$2:$R$761,Closed_Deals!$B$2:$B$761,A134,Closed_Deals!$N$2:$N$761,"Won"))</f>
        <v>45683</v>
      </c>
      <c r="L134" s="8" t="n">
        <f aca="false">IF(F134=0,"",_xlfn.MAXIFS(Closed_Deals!$R$2:$R$761,Closed_Deals!$B$2:$B$761,A134,Closed_Deals!$N$2:$N$761,"Won"))</f>
        <v>46434</v>
      </c>
      <c r="M134" s="7" t="n">
        <f aca="false">COUNTIF(Open_Pipeline!$B$2:$B$151,A134)</f>
        <v>1</v>
      </c>
      <c r="N134" s="10" t="n">
        <f aca="false">SUMIF(Open_Pipeline!$B$2:$B$151,A134,Open_Pipeline!$M$2:$M$151)</f>
        <v>88765.99</v>
      </c>
      <c r="O134" s="7" t="n">
        <f aca="true">IF(F134=0,"",TODAY()-L134)</f>
        <v>-160</v>
      </c>
      <c r="P134" s="7" t="str">
        <f aca="false">IF(F134&gt;=2,"Yes","No")</f>
        <v>Yes</v>
      </c>
      <c r="Q134" s="7" t="str">
        <f aca="false">IF(F134=0,"No Won Business",IF(M134&gt;0,"Active - In Pipeline",IF(O134&lt;=365,"Active",IF(O134&lt;=545,"At Risk","Churned"))))</f>
        <v>Active - In Pipeline</v>
      </c>
    </row>
    <row r="135" customFormat="false" ht="15" hidden="false" customHeight="false" outlineLevel="0" collapsed="false">
      <c r="A135" s="7" t="s">
        <v>1548</v>
      </c>
      <c r="B135" s="7" t="s">
        <v>1549</v>
      </c>
      <c r="C135" s="7" t="s">
        <v>195</v>
      </c>
      <c r="D135" s="7" t="s">
        <v>162</v>
      </c>
      <c r="E135" s="7" t="n">
        <f aca="false">COUNTIF(Closed_Deals!$B$2:$B$761,A135)</f>
        <v>0</v>
      </c>
      <c r="F135" s="7" t="n">
        <f aca="false">COUNTIFS(Closed_Deals!$B$2:$B$761,A135,Closed_Deals!$N$2:$N$761,"Won")</f>
        <v>0</v>
      </c>
      <c r="G135" s="7" t="n">
        <f aca="false">E135-F135</f>
        <v>0</v>
      </c>
      <c r="H135" s="11" t="str">
        <f aca="false">IFERROR(F135/E135,"")</f>
        <v/>
      </c>
      <c r="I135" s="10" t="n">
        <f aca="false">SUMIFS(Closed_Deals!$M$2:$M$761,Closed_Deals!$B$2:$B$761,A135,Closed_Deals!$N$2:$N$761,"Won")</f>
        <v>0</v>
      </c>
      <c r="J135" s="10" t="str">
        <f aca="false">IFERROR(I135/F135,"")</f>
        <v/>
      </c>
      <c r="K135" s="8" t="str">
        <f aca="false">IF(F135=0,"",_xlfn.MINIFS(Closed_Deals!$R$2:$R$761,Closed_Deals!$B$2:$B$761,A135,Closed_Deals!$N$2:$N$761,"Won"))</f>
        <v/>
      </c>
      <c r="L135" s="8" t="str">
        <f aca="false">IF(F135=0,"",_xlfn.MAXIFS(Closed_Deals!$R$2:$R$761,Closed_Deals!$B$2:$B$761,A135,Closed_Deals!$N$2:$N$761,"Won"))</f>
        <v/>
      </c>
      <c r="M135" s="7" t="n">
        <f aca="false">COUNTIF(Open_Pipeline!$B$2:$B$151,A135)</f>
        <v>0</v>
      </c>
      <c r="N135" s="10" t="n">
        <f aca="false">SUMIF(Open_Pipeline!$B$2:$B$151,A135,Open_Pipeline!$M$2:$M$151)</f>
        <v>0</v>
      </c>
      <c r="O135" s="7" t="str">
        <f aca="true">IF(F135=0,"",TODAY()-L135)</f>
        <v/>
      </c>
      <c r="P135" s="7" t="str">
        <f aca="false">IF(F135&gt;=2,"Yes","No")</f>
        <v>No</v>
      </c>
      <c r="Q135" s="7" t="str">
        <f aca="false">IF(F135=0,"No Won Business",IF(M135&gt;0,"Active - In Pipeline",IF(O135&lt;=365,"Active",IF(O135&lt;=545,"At Risk","Churned"))))</f>
        <v>No Won Business</v>
      </c>
    </row>
    <row r="136" customFormat="false" ht="15" hidden="false" customHeight="false" outlineLevel="0" collapsed="false">
      <c r="A136" s="7" t="s">
        <v>850</v>
      </c>
      <c r="B136" s="7" t="s">
        <v>851</v>
      </c>
      <c r="C136" s="7" t="s">
        <v>104</v>
      </c>
      <c r="D136" s="7" t="s">
        <v>162</v>
      </c>
      <c r="E136" s="7" t="n">
        <f aca="false">COUNTIF(Closed_Deals!$B$2:$B$761,A136)</f>
        <v>1</v>
      </c>
      <c r="F136" s="7" t="n">
        <f aca="false">COUNTIFS(Closed_Deals!$B$2:$B$761,A136,Closed_Deals!$N$2:$N$761,"Won")</f>
        <v>0</v>
      </c>
      <c r="G136" s="7" t="n">
        <f aca="false">E136-F136</f>
        <v>1</v>
      </c>
      <c r="H136" s="11" t="n">
        <f aca="false">IFERROR(F136/E136,"")</f>
        <v>0</v>
      </c>
      <c r="I136" s="10" t="n">
        <f aca="false">SUMIFS(Closed_Deals!$M$2:$M$761,Closed_Deals!$B$2:$B$761,A136,Closed_Deals!$N$2:$N$761,"Won")</f>
        <v>0</v>
      </c>
      <c r="J136" s="10" t="str">
        <f aca="false">IFERROR(I136/F136,"")</f>
        <v/>
      </c>
      <c r="K136" s="8" t="str">
        <f aca="false">IF(F136=0,"",_xlfn.MINIFS(Closed_Deals!$R$2:$R$761,Closed_Deals!$B$2:$B$761,A136,Closed_Deals!$N$2:$N$761,"Won"))</f>
        <v/>
      </c>
      <c r="L136" s="8" t="str">
        <f aca="false">IF(F136=0,"",_xlfn.MAXIFS(Closed_Deals!$R$2:$R$761,Closed_Deals!$B$2:$B$761,A136,Closed_Deals!$N$2:$N$761,"Won"))</f>
        <v/>
      </c>
      <c r="M136" s="7" t="n">
        <f aca="false">COUNTIF(Open_Pipeline!$B$2:$B$151,A136)</f>
        <v>0</v>
      </c>
      <c r="N136" s="10" t="n">
        <f aca="false">SUMIF(Open_Pipeline!$B$2:$B$151,A136,Open_Pipeline!$M$2:$M$151)</f>
        <v>0</v>
      </c>
      <c r="O136" s="7" t="str">
        <f aca="true">IF(F136=0,"",TODAY()-L136)</f>
        <v/>
      </c>
      <c r="P136" s="7" t="str">
        <f aca="false">IF(F136&gt;=2,"Yes","No")</f>
        <v>No</v>
      </c>
      <c r="Q136" s="7" t="str">
        <f aca="false">IF(F136=0,"No Won Business",IF(M136&gt;0,"Active - In Pipeline",IF(O136&lt;=365,"Active",IF(O136&lt;=545,"At Risk","Churned"))))</f>
        <v>No Won Business</v>
      </c>
    </row>
    <row r="137" customFormat="false" ht="15" hidden="false" customHeight="false" outlineLevel="0" collapsed="false">
      <c r="A137" s="7" t="s">
        <v>606</v>
      </c>
      <c r="B137" s="7" t="s">
        <v>607</v>
      </c>
      <c r="C137" s="7" t="s">
        <v>135</v>
      </c>
      <c r="D137" s="7" t="s">
        <v>105</v>
      </c>
      <c r="E137" s="7" t="n">
        <f aca="false">COUNTIF(Closed_Deals!$B$2:$B$761,A137)</f>
        <v>6</v>
      </c>
      <c r="F137" s="7" t="n">
        <f aca="false">COUNTIFS(Closed_Deals!$B$2:$B$761,A137,Closed_Deals!$N$2:$N$761,"Won")</f>
        <v>2</v>
      </c>
      <c r="G137" s="7" t="n">
        <f aca="false">E137-F137</f>
        <v>4</v>
      </c>
      <c r="H137" s="11" t="n">
        <f aca="false">IFERROR(F137/E137,"")</f>
        <v>0.333333333333333</v>
      </c>
      <c r="I137" s="10" t="n">
        <f aca="false">SUMIFS(Closed_Deals!$M$2:$M$761,Closed_Deals!$B$2:$B$761,A137,Closed_Deals!$N$2:$N$761,"Won")</f>
        <v>214518.3</v>
      </c>
      <c r="J137" s="10" t="n">
        <f aca="false">IFERROR(I137/F137,"")</f>
        <v>107259.15</v>
      </c>
      <c r="K137" s="8" t="n">
        <f aca="false">IF(F137=0,"",_xlfn.MINIFS(Closed_Deals!$R$2:$R$761,Closed_Deals!$B$2:$B$761,A137,Closed_Deals!$N$2:$N$761,"Won"))</f>
        <v>45940</v>
      </c>
      <c r="L137" s="8" t="n">
        <f aca="false">IF(F137=0,"",_xlfn.MAXIFS(Closed_Deals!$R$2:$R$761,Closed_Deals!$B$2:$B$761,A137,Closed_Deals!$N$2:$N$761,"Won"))</f>
        <v>45988</v>
      </c>
      <c r="M137" s="7" t="n">
        <f aca="false">COUNTIF(Open_Pipeline!$B$2:$B$151,A137)</f>
        <v>0</v>
      </c>
      <c r="N137" s="10" t="n">
        <f aca="false">SUMIF(Open_Pipeline!$B$2:$B$151,A137,Open_Pipeline!$M$2:$M$151)</f>
        <v>0</v>
      </c>
      <c r="O137" s="7" t="n">
        <f aca="true">IF(F137=0,"",TODAY()-L137)</f>
        <v>286</v>
      </c>
      <c r="P137" s="7" t="str">
        <f aca="false">IF(F137&gt;=2,"Yes","No")</f>
        <v>Yes</v>
      </c>
      <c r="Q137" s="7" t="str">
        <f aca="false">IF(F137=0,"No Won Business",IF(M137&gt;0,"Active - In Pipeline",IF(O137&lt;=365,"Active",IF(O137&lt;=545,"At Risk","Churned"))))</f>
        <v>Active</v>
      </c>
    </row>
    <row r="138" customFormat="false" ht="15" hidden="false" customHeight="false" outlineLevel="0" collapsed="false">
      <c r="A138" s="7" t="s">
        <v>318</v>
      </c>
      <c r="B138" s="7" t="s">
        <v>319</v>
      </c>
      <c r="C138" s="7" t="s">
        <v>114</v>
      </c>
      <c r="D138" s="7" t="s">
        <v>94</v>
      </c>
      <c r="E138" s="7" t="n">
        <f aca="false">COUNTIF(Closed_Deals!$B$2:$B$761,A138)</f>
        <v>16</v>
      </c>
      <c r="F138" s="7" t="n">
        <f aca="false">COUNTIFS(Closed_Deals!$B$2:$B$761,A138,Closed_Deals!$N$2:$N$761,"Won")</f>
        <v>7</v>
      </c>
      <c r="G138" s="7" t="n">
        <f aca="false">E138-F138</f>
        <v>9</v>
      </c>
      <c r="H138" s="11" t="n">
        <f aca="false">IFERROR(F138/E138,"")</f>
        <v>0.4375</v>
      </c>
      <c r="I138" s="10" t="n">
        <f aca="false">SUMIFS(Closed_Deals!$M$2:$M$761,Closed_Deals!$B$2:$B$761,A138,Closed_Deals!$N$2:$N$761,"Won")</f>
        <v>555648.77</v>
      </c>
      <c r="J138" s="10" t="n">
        <f aca="false">IFERROR(I138/F138,"")</f>
        <v>79378.3957142857</v>
      </c>
      <c r="K138" s="8" t="n">
        <f aca="false">IF(F138=0,"",_xlfn.MINIFS(Closed_Deals!$R$2:$R$761,Closed_Deals!$B$2:$B$761,A138,Closed_Deals!$N$2:$N$761,"Won"))</f>
        <v>45435</v>
      </c>
      <c r="L138" s="8" t="n">
        <f aca="false">IF(F138=0,"",_xlfn.MAXIFS(Closed_Deals!$R$2:$R$761,Closed_Deals!$B$2:$B$761,A138,Closed_Deals!$N$2:$N$761,"Won"))</f>
        <v>46279</v>
      </c>
      <c r="M138" s="7" t="n">
        <f aca="false">COUNTIF(Open_Pipeline!$B$2:$B$151,A138)</f>
        <v>1</v>
      </c>
      <c r="N138" s="10" t="n">
        <f aca="false">SUMIF(Open_Pipeline!$B$2:$B$151,A138,Open_Pipeline!$M$2:$M$151)</f>
        <v>84906.22</v>
      </c>
      <c r="O138" s="7" t="n">
        <f aca="true">IF(F138=0,"",TODAY()-L138)</f>
        <v>-5</v>
      </c>
      <c r="P138" s="7" t="str">
        <f aca="false">IF(F138&gt;=2,"Yes","No")</f>
        <v>Yes</v>
      </c>
      <c r="Q138" s="7" t="str">
        <f aca="false">IF(F138=0,"No Won Business",IF(M138&gt;0,"Active - In Pipeline",IF(O138&lt;=365,"Active",IF(O138&lt;=545,"At Risk","Churned"))))</f>
        <v>Active - In Pipeline</v>
      </c>
    </row>
    <row r="139" customFormat="false" ht="15" hidden="false" customHeight="false" outlineLevel="0" collapsed="false">
      <c r="A139" s="7" t="s">
        <v>102</v>
      </c>
      <c r="B139" s="7" t="s">
        <v>103</v>
      </c>
      <c r="C139" s="7" t="s">
        <v>104</v>
      </c>
      <c r="D139" s="7" t="s">
        <v>105</v>
      </c>
      <c r="E139" s="7" t="n">
        <f aca="false">COUNTIF(Closed_Deals!$B$2:$B$761,A139)</f>
        <v>10</v>
      </c>
      <c r="F139" s="7" t="n">
        <f aca="false">COUNTIFS(Closed_Deals!$B$2:$B$761,A139,Closed_Deals!$N$2:$N$761,"Won")</f>
        <v>3</v>
      </c>
      <c r="G139" s="7" t="n">
        <f aca="false">E139-F139</f>
        <v>7</v>
      </c>
      <c r="H139" s="11" t="n">
        <f aca="false">IFERROR(F139/E139,"")</f>
        <v>0.3</v>
      </c>
      <c r="I139" s="10" t="n">
        <f aca="false">SUMIFS(Closed_Deals!$M$2:$M$761,Closed_Deals!$B$2:$B$761,A139,Closed_Deals!$N$2:$N$761,"Won")</f>
        <v>399465.37</v>
      </c>
      <c r="J139" s="10" t="n">
        <f aca="false">IFERROR(I139/F139,"")</f>
        <v>133155.123333333</v>
      </c>
      <c r="K139" s="8" t="n">
        <f aca="false">IF(F139=0,"",_xlfn.MINIFS(Closed_Deals!$R$2:$R$761,Closed_Deals!$B$2:$B$761,A139,Closed_Deals!$N$2:$N$761,"Won"))</f>
        <v>46087</v>
      </c>
      <c r="L139" s="8" t="n">
        <f aca="false">IF(F139=0,"",_xlfn.MAXIFS(Closed_Deals!$R$2:$R$761,Closed_Deals!$B$2:$B$761,A139,Closed_Deals!$N$2:$N$761,"Won"))</f>
        <v>46242</v>
      </c>
      <c r="M139" s="7" t="n">
        <f aca="false">COUNTIF(Open_Pipeline!$B$2:$B$151,A139)</f>
        <v>2</v>
      </c>
      <c r="N139" s="10" t="n">
        <f aca="false">SUMIF(Open_Pipeline!$B$2:$B$151,A139,Open_Pipeline!$M$2:$M$151)</f>
        <v>215644.91</v>
      </c>
      <c r="O139" s="7" t="n">
        <f aca="true">IF(F139=0,"",TODAY()-L139)</f>
        <v>32</v>
      </c>
      <c r="P139" s="7" t="str">
        <f aca="false">IF(F139&gt;=2,"Yes","No")</f>
        <v>Yes</v>
      </c>
      <c r="Q139" s="7" t="str">
        <f aca="false">IF(F139=0,"No Won Business",IF(M139&gt;0,"Active - In Pipeline",IF(O139&lt;=365,"Active",IF(O139&lt;=545,"At Risk","Churned"))))</f>
        <v>Active - In Pipeline</v>
      </c>
    </row>
    <row r="140" customFormat="false" ht="15" hidden="false" customHeight="false" outlineLevel="0" collapsed="false">
      <c r="A140" s="7" t="s">
        <v>1411</v>
      </c>
      <c r="B140" s="7" t="s">
        <v>1412</v>
      </c>
      <c r="C140" s="7" t="s">
        <v>104</v>
      </c>
      <c r="D140" s="7" t="s">
        <v>162</v>
      </c>
      <c r="E140" s="7" t="n">
        <f aca="false">COUNTIF(Closed_Deals!$B$2:$B$761,A140)</f>
        <v>0</v>
      </c>
      <c r="F140" s="7" t="n">
        <f aca="false">COUNTIFS(Closed_Deals!$B$2:$B$761,A140,Closed_Deals!$N$2:$N$761,"Won")</f>
        <v>0</v>
      </c>
      <c r="G140" s="7" t="n">
        <f aca="false">E140-F140</f>
        <v>0</v>
      </c>
      <c r="H140" s="11" t="str">
        <f aca="false">IFERROR(F140/E140,"")</f>
        <v/>
      </c>
      <c r="I140" s="10" t="n">
        <f aca="false">SUMIFS(Closed_Deals!$M$2:$M$761,Closed_Deals!$B$2:$B$761,A140,Closed_Deals!$N$2:$N$761,"Won")</f>
        <v>0</v>
      </c>
      <c r="J140" s="10" t="str">
        <f aca="false">IFERROR(I140/F140,"")</f>
        <v/>
      </c>
      <c r="K140" s="8" t="str">
        <f aca="false">IF(F140=0,"",_xlfn.MINIFS(Closed_Deals!$R$2:$R$761,Closed_Deals!$B$2:$B$761,A140,Closed_Deals!$N$2:$N$761,"Won"))</f>
        <v/>
      </c>
      <c r="L140" s="8" t="str">
        <f aca="false">IF(F140=0,"",_xlfn.MAXIFS(Closed_Deals!$R$2:$R$761,Closed_Deals!$B$2:$B$761,A140,Closed_Deals!$N$2:$N$761,"Won"))</f>
        <v/>
      </c>
      <c r="M140" s="7" t="n">
        <f aca="false">COUNTIF(Open_Pipeline!$B$2:$B$151,A140)</f>
        <v>1</v>
      </c>
      <c r="N140" s="10" t="n">
        <f aca="false">SUMIF(Open_Pipeline!$B$2:$B$151,A140,Open_Pipeline!$M$2:$M$151)</f>
        <v>62415.21</v>
      </c>
      <c r="O140" s="7" t="str">
        <f aca="true">IF(F140=0,"",TODAY()-L140)</f>
        <v/>
      </c>
      <c r="P140" s="7" t="str">
        <f aca="false">IF(F140&gt;=2,"Yes","No")</f>
        <v>No</v>
      </c>
      <c r="Q140" s="7" t="str">
        <f aca="false">IF(F140=0,"No Won Business",IF(M140&gt;0,"Active - In Pipeline",IF(O140&lt;=365,"Active",IF(O140&lt;=545,"At Risk","Churned"))))</f>
        <v>No Won Business</v>
      </c>
    </row>
    <row r="141" customFormat="false" ht="15" hidden="false" customHeight="false" outlineLevel="0" collapsed="false">
      <c r="A141" s="7" t="s">
        <v>1550</v>
      </c>
      <c r="B141" s="7" t="s">
        <v>1551</v>
      </c>
      <c r="C141" s="7" t="s">
        <v>104</v>
      </c>
      <c r="D141" s="7" t="s">
        <v>94</v>
      </c>
      <c r="E141" s="7" t="n">
        <f aca="false">COUNTIF(Closed_Deals!$B$2:$B$761,A141)</f>
        <v>0</v>
      </c>
      <c r="F141" s="7" t="n">
        <f aca="false">COUNTIFS(Closed_Deals!$B$2:$B$761,A141,Closed_Deals!$N$2:$N$761,"Won")</f>
        <v>0</v>
      </c>
      <c r="G141" s="7" t="n">
        <f aca="false">E141-F141</f>
        <v>0</v>
      </c>
      <c r="H141" s="11" t="str">
        <f aca="false">IFERROR(F141/E141,"")</f>
        <v/>
      </c>
      <c r="I141" s="10" t="n">
        <f aca="false">SUMIFS(Closed_Deals!$M$2:$M$761,Closed_Deals!$B$2:$B$761,A141,Closed_Deals!$N$2:$N$761,"Won")</f>
        <v>0</v>
      </c>
      <c r="J141" s="10" t="str">
        <f aca="false">IFERROR(I141/F141,"")</f>
        <v/>
      </c>
      <c r="K141" s="8" t="str">
        <f aca="false">IF(F141=0,"",_xlfn.MINIFS(Closed_Deals!$R$2:$R$761,Closed_Deals!$B$2:$B$761,A141,Closed_Deals!$N$2:$N$761,"Won"))</f>
        <v/>
      </c>
      <c r="L141" s="8" t="str">
        <f aca="false">IF(F141=0,"",_xlfn.MAXIFS(Closed_Deals!$R$2:$R$761,Closed_Deals!$B$2:$B$761,A141,Closed_Deals!$N$2:$N$761,"Won"))</f>
        <v/>
      </c>
      <c r="M141" s="7" t="n">
        <f aca="false">COUNTIF(Open_Pipeline!$B$2:$B$151,A141)</f>
        <v>0</v>
      </c>
      <c r="N141" s="10" t="n">
        <f aca="false">SUMIF(Open_Pipeline!$B$2:$B$151,A141,Open_Pipeline!$M$2:$M$151)</f>
        <v>0</v>
      </c>
      <c r="O141" s="7" t="str">
        <f aca="true">IF(F141=0,"",TODAY()-L141)</f>
        <v/>
      </c>
      <c r="P141" s="7" t="str">
        <f aca="false">IF(F141&gt;=2,"Yes","No")</f>
        <v>No</v>
      </c>
      <c r="Q141" s="7" t="str">
        <f aca="false">IF(F141=0,"No Won Business",IF(M141&gt;0,"Active - In Pipeline",IF(O141&lt;=365,"Active",IF(O141&lt;=545,"At Risk","Churned"))))</f>
        <v>No Won Business</v>
      </c>
    </row>
    <row r="142" customFormat="false" ht="15" hidden="false" customHeight="false" outlineLevel="0" collapsed="false">
      <c r="A142" s="7" t="s">
        <v>1552</v>
      </c>
      <c r="B142" s="7" t="s">
        <v>1553</v>
      </c>
      <c r="C142" s="7" t="s">
        <v>151</v>
      </c>
      <c r="D142" s="7" t="s">
        <v>115</v>
      </c>
      <c r="E142" s="7" t="n">
        <f aca="false">COUNTIF(Closed_Deals!$B$2:$B$761,A142)</f>
        <v>0</v>
      </c>
      <c r="F142" s="7" t="n">
        <f aca="false">COUNTIFS(Closed_Deals!$B$2:$B$761,A142,Closed_Deals!$N$2:$N$761,"Won")</f>
        <v>0</v>
      </c>
      <c r="G142" s="7" t="n">
        <f aca="false">E142-F142</f>
        <v>0</v>
      </c>
      <c r="H142" s="11" t="str">
        <f aca="false">IFERROR(F142/E142,"")</f>
        <v/>
      </c>
      <c r="I142" s="10" t="n">
        <f aca="false">SUMIFS(Closed_Deals!$M$2:$M$761,Closed_Deals!$B$2:$B$761,A142,Closed_Deals!$N$2:$N$761,"Won")</f>
        <v>0</v>
      </c>
      <c r="J142" s="10" t="str">
        <f aca="false">IFERROR(I142/F142,"")</f>
        <v/>
      </c>
      <c r="K142" s="8" t="str">
        <f aca="false">IF(F142=0,"",_xlfn.MINIFS(Closed_Deals!$R$2:$R$761,Closed_Deals!$B$2:$B$761,A142,Closed_Deals!$N$2:$N$761,"Won"))</f>
        <v/>
      </c>
      <c r="L142" s="8" t="str">
        <f aca="false">IF(F142=0,"",_xlfn.MAXIFS(Closed_Deals!$R$2:$R$761,Closed_Deals!$B$2:$B$761,A142,Closed_Deals!$N$2:$N$761,"Won"))</f>
        <v/>
      </c>
      <c r="M142" s="7" t="n">
        <f aca="false">COUNTIF(Open_Pipeline!$B$2:$B$151,A142)</f>
        <v>0</v>
      </c>
      <c r="N142" s="10" t="n">
        <f aca="false">SUMIF(Open_Pipeline!$B$2:$B$151,A142,Open_Pipeline!$M$2:$M$151)</f>
        <v>0</v>
      </c>
      <c r="O142" s="7" t="str">
        <f aca="true">IF(F142=0,"",TODAY()-L142)</f>
        <v/>
      </c>
      <c r="P142" s="7" t="str">
        <f aca="false">IF(F142&gt;=2,"Yes","No")</f>
        <v>No</v>
      </c>
      <c r="Q142" s="7" t="str">
        <f aca="false">IF(F142=0,"No Won Business",IF(M142&gt;0,"Active - In Pipeline",IF(O142&lt;=365,"Active",IF(O142&lt;=545,"At Risk","Churned"))))</f>
        <v>No Won Business</v>
      </c>
    </row>
    <row r="143" customFormat="false" ht="15" hidden="false" customHeight="false" outlineLevel="0" collapsed="false">
      <c r="A143" s="7" t="s">
        <v>1554</v>
      </c>
      <c r="B143" s="7" t="s">
        <v>1555</v>
      </c>
      <c r="C143" s="7" t="s">
        <v>151</v>
      </c>
      <c r="D143" s="7" t="s">
        <v>115</v>
      </c>
      <c r="E143" s="7" t="n">
        <f aca="false">COUNTIF(Closed_Deals!$B$2:$B$761,A143)</f>
        <v>0</v>
      </c>
      <c r="F143" s="7" t="n">
        <f aca="false">COUNTIFS(Closed_Deals!$B$2:$B$761,A143,Closed_Deals!$N$2:$N$761,"Won")</f>
        <v>0</v>
      </c>
      <c r="G143" s="7" t="n">
        <f aca="false">E143-F143</f>
        <v>0</v>
      </c>
      <c r="H143" s="11" t="str">
        <f aca="false">IFERROR(F143/E143,"")</f>
        <v/>
      </c>
      <c r="I143" s="10" t="n">
        <f aca="false">SUMIFS(Closed_Deals!$M$2:$M$761,Closed_Deals!$B$2:$B$761,A143,Closed_Deals!$N$2:$N$761,"Won")</f>
        <v>0</v>
      </c>
      <c r="J143" s="10" t="str">
        <f aca="false">IFERROR(I143/F143,"")</f>
        <v/>
      </c>
      <c r="K143" s="8" t="str">
        <f aca="false">IF(F143=0,"",_xlfn.MINIFS(Closed_Deals!$R$2:$R$761,Closed_Deals!$B$2:$B$761,A143,Closed_Deals!$N$2:$N$761,"Won"))</f>
        <v/>
      </c>
      <c r="L143" s="8" t="str">
        <f aca="false">IF(F143=0,"",_xlfn.MAXIFS(Closed_Deals!$R$2:$R$761,Closed_Deals!$B$2:$B$761,A143,Closed_Deals!$N$2:$N$761,"Won"))</f>
        <v/>
      </c>
      <c r="M143" s="7" t="n">
        <f aca="false">COUNTIF(Open_Pipeline!$B$2:$B$151,A143)</f>
        <v>0</v>
      </c>
      <c r="N143" s="10" t="n">
        <f aca="false">SUMIF(Open_Pipeline!$B$2:$B$151,A143,Open_Pipeline!$M$2:$M$151)</f>
        <v>0</v>
      </c>
      <c r="O143" s="7" t="str">
        <f aca="true">IF(F143=0,"",TODAY()-L143)</f>
        <v/>
      </c>
      <c r="P143" s="7" t="str">
        <f aca="false">IF(F143&gt;=2,"Yes","No")</f>
        <v>No</v>
      </c>
      <c r="Q143" s="7" t="str">
        <f aca="false">IF(F143=0,"No Won Business",IF(M143&gt;0,"Active - In Pipeline",IF(O143&lt;=365,"Active",IF(O143&lt;=545,"At Risk","Churned"))))</f>
        <v>No Won Business</v>
      </c>
    </row>
    <row r="144" customFormat="false" ht="15" hidden="false" customHeight="false" outlineLevel="0" collapsed="false">
      <c r="A144" s="7" t="s">
        <v>244</v>
      </c>
      <c r="B144" s="7" t="s">
        <v>245</v>
      </c>
      <c r="C144" s="7" t="s">
        <v>135</v>
      </c>
      <c r="D144" s="7" t="s">
        <v>162</v>
      </c>
      <c r="E144" s="7" t="n">
        <f aca="false">COUNTIF(Closed_Deals!$B$2:$B$761,A144)</f>
        <v>3</v>
      </c>
      <c r="F144" s="7" t="n">
        <f aca="false">COUNTIFS(Closed_Deals!$B$2:$B$761,A144,Closed_Deals!$N$2:$N$761,"Won")</f>
        <v>1</v>
      </c>
      <c r="G144" s="7" t="n">
        <f aca="false">E144-F144</f>
        <v>2</v>
      </c>
      <c r="H144" s="11" t="n">
        <f aca="false">IFERROR(F144/E144,"")</f>
        <v>0.333333333333333</v>
      </c>
      <c r="I144" s="10" t="n">
        <f aca="false">SUMIFS(Closed_Deals!$M$2:$M$761,Closed_Deals!$B$2:$B$761,A144,Closed_Deals!$N$2:$N$761,"Won")</f>
        <v>171154.46</v>
      </c>
      <c r="J144" s="10" t="n">
        <f aca="false">IFERROR(I144/F144,"")</f>
        <v>171154.46</v>
      </c>
      <c r="K144" s="8" t="n">
        <f aca="false">IF(F144=0,"",_xlfn.MINIFS(Closed_Deals!$R$2:$R$761,Closed_Deals!$B$2:$B$761,A144,Closed_Deals!$N$2:$N$761,"Won"))</f>
        <v>45716</v>
      </c>
      <c r="L144" s="8" t="n">
        <f aca="false">IF(F144=0,"",_xlfn.MAXIFS(Closed_Deals!$R$2:$R$761,Closed_Deals!$B$2:$B$761,A144,Closed_Deals!$N$2:$N$761,"Won"))</f>
        <v>45716</v>
      </c>
      <c r="M144" s="7" t="n">
        <f aca="false">COUNTIF(Open_Pipeline!$B$2:$B$151,A144)</f>
        <v>1</v>
      </c>
      <c r="N144" s="10" t="n">
        <f aca="false">SUMIF(Open_Pipeline!$B$2:$B$151,A144,Open_Pipeline!$M$2:$M$151)</f>
        <v>270192.66</v>
      </c>
      <c r="O144" s="7" t="n">
        <f aca="true">IF(F144=0,"",TODAY()-L144)</f>
        <v>558</v>
      </c>
      <c r="P144" s="7" t="str">
        <f aca="false">IF(F144&gt;=2,"Yes","No")</f>
        <v>No</v>
      </c>
      <c r="Q144" s="7" t="str">
        <f aca="false">IF(F144=0,"No Won Business",IF(M144&gt;0,"Active - In Pipeline",IF(O144&lt;=365,"Active",IF(O144&lt;=545,"At Risk","Churned"))))</f>
        <v>Active - In Pipeline</v>
      </c>
    </row>
    <row r="145" customFormat="false" ht="15" hidden="false" customHeight="false" outlineLevel="0" collapsed="false">
      <c r="A145" s="7" t="s">
        <v>1556</v>
      </c>
      <c r="B145" s="7" t="s">
        <v>1557</v>
      </c>
      <c r="C145" s="7" t="s">
        <v>93</v>
      </c>
      <c r="D145" s="7" t="s">
        <v>115</v>
      </c>
      <c r="E145" s="7" t="n">
        <f aca="false">COUNTIF(Closed_Deals!$B$2:$B$761,A145)</f>
        <v>0</v>
      </c>
      <c r="F145" s="7" t="n">
        <f aca="false">COUNTIFS(Closed_Deals!$B$2:$B$761,A145,Closed_Deals!$N$2:$N$761,"Won")</f>
        <v>0</v>
      </c>
      <c r="G145" s="7" t="n">
        <f aca="false">E145-F145</f>
        <v>0</v>
      </c>
      <c r="H145" s="11" t="str">
        <f aca="false">IFERROR(F145/E145,"")</f>
        <v/>
      </c>
      <c r="I145" s="10" t="n">
        <f aca="false">SUMIFS(Closed_Deals!$M$2:$M$761,Closed_Deals!$B$2:$B$761,A145,Closed_Deals!$N$2:$N$761,"Won")</f>
        <v>0</v>
      </c>
      <c r="J145" s="10" t="str">
        <f aca="false">IFERROR(I145/F145,"")</f>
        <v/>
      </c>
      <c r="K145" s="8" t="str">
        <f aca="false">IF(F145=0,"",_xlfn.MINIFS(Closed_Deals!$R$2:$R$761,Closed_Deals!$B$2:$B$761,A145,Closed_Deals!$N$2:$N$761,"Won"))</f>
        <v/>
      </c>
      <c r="L145" s="8" t="str">
        <f aca="false">IF(F145=0,"",_xlfn.MAXIFS(Closed_Deals!$R$2:$R$761,Closed_Deals!$B$2:$B$761,A145,Closed_Deals!$N$2:$N$761,"Won"))</f>
        <v/>
      </c>
      <c r="M145" s="7" t="n">
        <f aca="false">COUNTIF(Open_Pipeline!$B$2:$B$151,A145)</f>
        <v>0</v>
      </c>
      <c r="N145" s="10" t="n">
        <f aca="false">SUMIF(Open_Pipeline!$B$2:$B$151,A145,Open_Pipeline!$M$2:$M$151)</f>
        <v>0</v>
      </c>
      <c r="O145" s="7" t="str">
        <f aca="true">IF(F145=0,"",TODAY()-L145)</f>
        <v/>
      </c>
      <c r="P145" s="7" t="str">
        <f aca="false">IF(F145&gt;=2,"Yes","No")</f>
        <v>No</v>
      </c>
      <c r="Q145" s="7" t="str">
        <f aca="false">IF(F145=0,"No Won Business",IF(M145&gt;0,"Active - In Pipeline",IF(O145&lt;=365,"Active",IF(O145&lt;=545,"At Risk","Churned"))))</f>
        <v>No Won Business</v>
      </c>
    </row>
    <row r="146" customFormat="false" ht="15" hidden="false" customHeight="false" outlineLevel="0" collapsed="false">
      <c r="A146" s="7" t="s">
        <v>1558</v>
      </c>
      <c r="B146" s="7" t="s">
        <v>1559</v>
      </c>
      <c r="C146" s="7" t="s">
        <v>114</v>
      </c>
      <c r="D146" s="7" t="s">
        <v>115</v>
      </c>
      <c r="E146" s="7" t="n">
        <f aca="false">COUNTIF(Closed_Deals!$B$2:$B$761,A146)</f>
        <v>0</v>
      </c>
      <c r="F146" s="7" t="n">
        <f aca="false">COUNTIFS(Closed_Deals!$B$2:$B$761,A146,Closed_Deals!$N$2:$N$761,"Won")</f>
        <v>0</v>
      </c>
      <c r="G146" s="7" t="n">
        <f aca="false">E146-F146</f>
        <v>0</v>
      </c>
      <c r="H146" s="11" t="str">
        <f aca="false">IFERROR(F146/E146,"")</f>
        <v/>
      </c>
      <c r="I146" s="10" t="n">
        <f aca="false">SUMIFS(Closed_Deals!$M$2:$M$761,Closed_Deals!$B$2:$B$761,A146,Closed_Deals!$N$2:$N$761,"Won")</f>
        <v>0</v>
      </c>
      <c r="J146" s="10" t="str">
        <f aca="false">IFERROR(I146/F146,"")</f>
        <v/>
      </c>
      <c r="K146" s="8" t="str">
        <f aca="false">IF(F146=0,"",_xlfn.MINIFS(Closed_Deals!$R$2:$R$761,Closed_Deals!$B$2:$B$761,A146,Closed_Deals!$N$2:$N$761,"Won"))</f>
        <v/>
      </c>
      <c r="L146" s="8" t="str">
        <f aca="false">IF(F146=0,"",_xlfn.MAXIFS(Closed_Deals!$R$2:$R$761,Closed_Deals!$B$2:$B$761,A146,Closed_Deals!$N$2:$N$761,"Won"))</f>
        <v/>
      </c>
      <c r="M146" s="7" t="n">
        <f aca="false">COUNTIF(Open_Pipeline!$B$2:$B$151,A146)</f>
        <v>0</v>
      </c>
      <c r="N146" s="10" t="n">
        <f aca="false">SUMIF(Open_Pipeline!$B$2:$B$151,A146,Open_Pipeline!$M$2:$M$151)</f>
        <v>0</v>
      </c>
      <c r="O146" s="7" t="str">
        <f aca="true">IF(F146=0,"",TODAY()-L146)</f>
        <v/>
      </c>
      <c r="P146" s="7" t="str">
        <f aca="false">IF(F146&gt;=2,"Yes","No")</f>
        <v>No</v>
      </c>
      <c r="Q146" s="7" t="str">
        <f aca="false">IF(F146=0,"No Won Business",IF(M146&gt;0,"Active - In Pipeline",IF(O146&lt;=365,"Active",IF(O146&lt;=545,"At Risk","Churned"))))</f>
        <v>No Won Business</v>
      </c>
    </row>
    <row r="147" customFormat="false" ht="15" hidden="false" customHeight="false" outlineLevel="0" collapsed="false">
      <c r="A147" s="7" t="s">
        <v>1560</v>
      </c>
      <c r="B147" s="7" t="s">
        <v>1561</v>
      </c>
      <c r="C147" s="7" t="s">
        <v>104</v>
      </c>
      <c r="D147" s="7" t="s">
        <v>115</v>
      </c>
      <c r="E147" s="7" t="n">
        <f aca="false">COUNTIF(Closed_Deals!$B$2:$B$761,A147)</f>
        <v>0</v>
      </c>
      <c r="F147" s="7" t="n">
        <f aca="false">COUNTIFS(Closed_Deals!$B$2:$B$761,A147,Closed_Deals!$N$2:$N$761,"Won")</f>
        <v>0</v>
      </c>
      <c r="G147" s="7" t="n">
        <f aca="false">E147-F147</f>
        <v>0</v>
      </c>
      <c r="H147" s="11" t="str">
        <f aca="false">IFERROR(F147/E147,"")</f>
        <v/>
      </c>
      <c r="I147" s="10" t="n">
        <f aca="false">SUMIFS(Closed_Deals!$M$2:$M$761,Closed_Deals!$B$2:$B$761,A147,Closed_Deals!$N$2:$N$761,"Won")</f>
        <v>0</v>
      </c>
      <c r="J147" s="10" t="str">
        <f aca="false">IFERROR(I147/F147,"")</f>
        <v/>
      </c>
      <c r="K147" s="8" t="str">
        <f aca="false">IF(F147=0,"",_xlfn.MINIFS(Closed_Deals!$R$2:$R$761,Closed_Deals!$B$2:$B$761,A147,Closed_Deals!$N$2:$N$761,"Won"))</f>
        <v/>
      </c>
      <c r="L147" s="8" t="str">
        <f aca="false">IF(F147=0,"",_xlfn.MAXIFS(Closed_Deals!$R$2:$R$761,Closed_Deals!$B$2:$B$761,A147,Closed_Deals!$N$2:$N$761,"Won"))</f>
        <v/>
      </c>
      <c r="M147" s="7" t="n">
        <f aca="false">COUNTIF(Open_Pipeline!$B$2:$B$151,A147)</f>
        <v>0</v>
      </c>
      <c r="N147" s="10" t="n">
        <f aca="false">SUMIF(Open_Pipeline!$B$2:$B$151,A147,Open_Pipeline!$M$2:$M$151)</f>
        <v>0</v>
      </c>
      <c r="O147" s="7" t="str">
        <f aca="true">IF(F147=0,"",TODAY()-L147)</f>
        <v/>
      </c>
      <c r="P147" s="7" t="str">
        <f aca="false">IF(F147&gt;=2,"Yes","No")</f>
        <v>No</v>
      </c>
      <c r="Q147" s="7" t="str">
        <f aca="false">IF(F147=0,"No Won Business",IF(M147&gt;0,"Active - In Pipeline",IF(O147&lt;=365,"Active",IF(O147&lt;=545,"At Risk","Churned"))))</f>
        <v>No Won Business</v>
      </c>
    </row>
    <row r="148" customFormat="false" ht="15" hidden="false" customHeight="false" outlineLevel="0" collapsed="false">
      <c r="A148" s="7" t="s">
        <v>592</v>
      </c>
      <c r="B148" s="7" t="s">
        <v>593</v>
      </c>
      <c r="C148" s="7" t="s">
        <v>114</v>
      </c>
      <c r="D148" s="7" t="s">
        <v>162</v>
      </c>
      <c r="E148" s="7" t="n">
        <f aca="false">COUNTIF(Closed_Deals!$B$2:$B$761,A148)</f>
        <v>7</v>
      </c>
      <c r="F148" s="7" t="n">
        <f aca="false">COUNTIFS(Closed_Deals!$B$2:$B$761,A148,Closed_Deals!$N$2:$N$761,"Won")</f>
        <v>1</v>
      </c>
      <c r="G148" s="7" t="n">
        <f aca="false">E148-F148</f>
        <v>6</v>
      </c>
      <c r="H148" s="11" t="n">
        <f aca="false">IFERROR(F148/E148,"")</f>
        <v>0.142857142857143</v>
      </c>
      <c r="I148" s="10" t="n">
        <f aca="false">SUMIFS(Closed_Deals!$M$2:$M$761,Closed_Deals!$B$2:$B$761,A148,Closed_Deals!$N$2:$N$761,"Won")</f>
        <v>138190.2</v>
      </c>
      <c r="J148" s="10" t="n">
        <f aca="false">IFERROR(I148/F148,"")</f>
        <v>138190.2</v>
      </c>
      <c r="K148" s="8" t="n">
        <f aca="false">IF(F148=0,"",_xlfn.MINIFS(Closed_Deals!$R$2:$R$761,Closed_Deals!$B$2:$B$761,A148,Closed_Deals!$N$2:$N$761,"Won"))</f>
        <v>46241</v>
      </c>
      <c r="L148" s="8" t="n">
        <f aca="false">IF(F148=0,"",_xlfn.MAXIFS(Closed_Deals!$R$2:$R$761,Closed_Deals!$B$2:$B$761,A148,Closed_Deals!$N$2:$N$761,"Won"))</f>
        <v>46241</v>
      </c>
      <c r="M148" s="7" t="n">
        <f aca="false">COUNTIF(Open_Pipeline!$B$2:$B$151,A148)</f>
        <v>1</v>
      </c>
      <c r="N148" s="10" t="n">
        <f aca="false">SUMIF(Open_Pipeline!$B$2:$B$151,A148,Open_Pipeline!$M$2:$M$151)</f>
        <v>55192.18</v>
      </c>
      <c r="O148" s="7" t="n">
        <f aca="true">IF(F148=0,"",TODAY()-L148)</f>
        <v>33</v>
      </c>
      <c r="P148" s="7" t="str">
        <f aca="false">IF(F148&gt;=2,"Yes","No")</f>
        <v>No</v>
      </c>
      <c r="Q148" s="7" t="str">
        <f aca="false">IF(F148=0,"No Won Business",IF(M148&gt;0,"Active - In Pipeline",IF(O148&lt;=365,"Active",IF(O148&lt;=545,"At Risk","Churned"))))</f>
        <v>Active - In Pipeline</v>
      </c>
    </row>
    <row r="149" customFormat="false" ht="15" hidden="false" customHeight="false" outlineLevel="0" collapsed="false">
      <c r="A149" s="7" t="s">
        <v>378</v>
      </c>
      <c r="B149" s="7" t="s">
        <v>379</v>
      </c>
      <c r="C149" s="7" t="s">
        <v>93</v>
      </c>
      <c r="D149" s="7" t="s">
        <v>94</v>
      </c>
      <c r="E149" s="7" t="n">
        <f aca="false">COUNTIF(Closed_Deals!$B$2:$B$761,A149)</f>
        <v>2</v>
      </c>
      <c r="F149" s="7" t="n">
        <f aca="false">COUNTIFS(Closed_Deals!$B$2:$B$761,A149,Closed_Deals!$N$2:$N$761,"Won")</f>
        <v>0</v>
      </c>
      <c r="G149" s="7" t="n">
        <f aca="false">E149-F149</f>
        <v>2</v>
      </c>
      <c r="H149" s="11" t="n">
        <f aca="false">IFERROR(F149/E149,"")</f>
        <v>0</v>
      </c>
      <c r="I149" s="10" t="n">
        <f aca="false">SUMIFS(Closed_Deals!$M$2:$M$761,Closed_Deals!$B$2:$B$761,A149,Closed_Deals!$N$2:$N$761,"Won")</f>
        <v>0</v>
      </c>
      <c r="J149" s="10" t="str">
        <f aca="false">IFERROR(I149/F149,"")</f>
        <v/>
      </c>
      <c r="K149" s="8" t="str">
        <f aca="false">IF(F149=0,"",_xlfn.MINIFS(Closed_Deals!$R$2:$R$761,Closed_Deals!$B$2:$B$761,A149,Closed_Deals!$N$2:$N$761,"Won"))</f>
        <v/>
      </c>
      <c r="L149" s="8" t="str">
        <f aca="false">IF(F149=0,"",_xlfn.MAXIFS(Closed_Deals!$R$2:$R$761,Closed_Deals!$B$2:$B$761,A149,Closed_Deals!$N$2:$N$761,"Won"))</f>
        <v/>
      </c>
      <c r="M149" s="7" t="n">
        <f aca="false">COUNTIF(Open_Pipeline!$B$2:$B$151,A149)</f>
        <v>1</v>
      </c>
      <c r="N149" s="10" t="n">
        <f aca="false">SUMIF(Open_Pipeline!$B$2:$B$151,A149,Open_Pipeline!$M$2:$M$151)</f>
        <v>140344.79</v>
      </c>
      <c r="O149" s="7" t="str">
        <f aca="true">IF(F149=0,"",TODAY()-L149)</f>
        <v/>
      </c>
      <c r="P149" s="7" t="str">
        <f aca="false">IF(F149&gt;=2,"Yes","No")</f>
        <v>No</v>
      </c>
      <c r="Q149" s="7" t="str">
        <f aca="false">IF(F149=0,"No Won Business",IF(M149&gt;0,"Active - In Pipeline",IF(O149&lt;=365,"Active",IF(O149&lt;=545,"At Risk","Churned"))))</f>
        <v>No Won Business</v>
      </c>
    </row>
    <row r="150" customFormat="false" ht="15" hidden="false" customHeight="false" outlineLevel="0" collapsed="false">
      <c r="A150" s="7" t="s">
        <v>769</v>
      </c>
      <c r="B150" s="7" t="s">
        <v>770</v>
      </c>
      <c r="C150" s="7" t="s">
        <v>114</v>
      </c>
      <c r="D150" s="7" t="s">
        <v>162</v>
      </c>
      <c r="E150" s="7" t="n">
        <f aca="false">COUNTIF(Closed_Deals!$B$2:$B$761,A150)</f>
        <v>5</v>
      </c>
      <c r="F150" s="7" t="n">
        <f aca="false">COUNTIFS(Closed_Deals!$B$2:$B$761,A150,Closed_Deals!$N$2:$N$761,"Won")</f>
        <v>1</v>
      </c>
      <c r="G150" s="7" t="n">
        <f aca="false">E150-F150</f>
        <v>4</v>
      </c>
      <c r="H150" s="11" t="n">
        <f aca="false">IFERROR(F150/E150,"")</f>
        <v>0.2</v>
      </c>
      <c r="I150" s="10" t="n">
        <f aca="false">SUMIFS(Closed_Deals!$M$2:$M$761,Closed_Deals!$B$2:$B$761,A150,Closed_Deals!$N$2:$N$761,"Won")</f>
        <v>156596.08</v>
      </c>
      <c r="J150" s="10" t="n">
        <f aca="false">IFERROR(I150/F150,"")</f>
        <v>156596.08</v>
      </c>
      <c r="K150" s="8" t="n">
        <f aca="false">IF(F150=0,"",_xlfn.MINIFS(Closed_Deals!$R$2:$R$761,Closed_Deals!$B$2:$B$761,A150,Closed_Deals!$N$2:$N$761,"Won"))</f>
        <v>45966</v>
      </c>
      <c r="L150" s="8" t="n">
        <f aca="false">IF(F150=0,"",_xlfn.MAXIFS(Closed_Deals!$R$2:$R$761,Closed_Deals!$B$2:$B$761,A150,Closed_Deals!$N$2:$N$761,"Won"))</f>
        <v>45966</v>
      </c>
      <c r="M150" s="7" t="n">
        <f aca="false">COUNTIF(Open_Pipeline!$B$2:$B$151,A150)</f>
        <v>1</v>
      </c>
      <c r="N150" s="10" t="n">
        <f aca="false">SUMIF(Open_Pipeline!$B$2:$B$151,A150,Open_Pipeline!$M$2:$M$151)</f>
        <v>52104.03</v>
      </c>
      <c r="O150" s="7" t="n">
        <f aca="true">IF(F150=0,"",TODAY()-L150)</f>
        <v>308</v>
      </c>
      <c r="P150" s="7" t="str">
        <f aca="false">IF(F150&gt;=2,"Yes","No")</f>
        <v>No</v>
      </c>
      <c r="Q150" s="7" t="str">
        <f aca="false">IF(F150=0,"No Won Business",IF(M150&gt;0,"Active - In Pipeline",IF(O150&lt;=365,"Active",IF(O150&lt;=545,"At Risk","Churned"))))</f>
        <v>Active - In Pipeline</v>
      </c>
    </row>
    <row r="151" customFormat="false" ht="15" hidden="false" customHeight="false" outlineLevel="0" collapsed="false">
      <c r="A151" s="7" t="s">
        <v>1562</v>
      </c>
      <c r="B151" s="7" t="s">
        <v>1563</v>
      </c>
      <c r="C151" s="7" t="s">
        <v>135</v>
      </c>
      <c r="D151" s="7" t="s">
        <v>162</v>
      </c>
      <c r="E151" s="7" t="n">
        <f aca="false">COUNTIF(Closed_Deals!$B$2:$B$761,A151)</f>
        <v>0</v>
      </c>
      <c r="F151" s="7" t="n">
        <f aca="false">COUNTIFS(Closed_Deals!$B$2:$B$761,A151,Closed_Deals!$N$2:$N$761,"Won")</f>
        <v>0</v>
      </c>
      <c r="G151" s="7" t="n">
        <f aca="false">E151-F151</f>
        <v>0</v>
      </c>
      <c r="H151" s="11" t="str">
        <f aca="false">IFERROR(F151/E151,"")</f>
        <v/>
      </c>
      <c r="I151" s="10" t="n">
        <f aca="false">SUMIFS(Closed_Deals!$M$2:$M$761,Closed_Deals!$B$2:$B$761,A151,Closed_Deals!$N$2:$N$761,"Won")</f>
        <v>0</v>
      </c>
      <c r="J151" s="10" t="str">
        <f aca="false">IFERROR(I151/F151,"")</f>
        <v/>
      </c>
      <c r="K151" s="8" t="str">
        <f aca="false">IF(F151=0,"",_xlfn.MINIFS(Closed_Deals!$R$2:$R$761,Closed_Deals!$B$2:$B$761,A151,Closed_Deals!$N$2:$N$761,"Won"))</f>
        <v/>
      </c>
      <c r="L151" s="8" t="str">
        <f aca="false">IF(F151=0,"",_xlfn.MAXIFS(Closed_Deals!$R$2:$R$761,Closed_Deals!$B$2:$B$761,A151,Closed_Deals!$N$2:$N$761,"Won"))</f>
        <v/>
      </c>
      <c r="M151" s="7" t="n">
        <f aca="false">COUNTIF(Open_Pipeline!$B$2:$B$151,A151)</f>
        <v>0</v>
      </c>
      <c r="N151" s="10" t="n">
        <f aca="false">SUMIF(Open_Pipeline!$B$2:$B$151,A151,Open_Pipeline!$M$2:$M$151)</f>
        <v>0</v>
      </c>
      <c r="O151" s="7" t="str">
        <f aca="true">IF(F151=0,"",TODAY()-L151)</f>
        <v/>
      </c>
      <c r="P151" s="7" t="str">
        <f aca="false">IF(F151&gt;=2,"Yes","No")</f>
        <v>No</v>
      </c>
      <c r="Q151" s="7" t="str">
        <f aca="false">IF(F151=0,"No Won Business",IF(M151&gt;0,"Active - In Pipeline",IF(O151&lt;=365,"Active",IF(O151&lt;=545,"At Risk","Churned"))))</f>
        <v>No Won Business</v>
      </c>
    </row>
    <row r="152" customFormat="false" ht="15" hidden="false" customHeight="false" outlineLevel="0" collapsed="false">
      <c r="A152" s="7" t="s">
        <v>221</v>
      </c>
      <c r="B152" s="7" t="s">
        <v>222</v>
      </c>
      <c r="C152" s="7" t="s">
        <v>135</v>
      </c>
      <c r="D152" s="7" t="s">
        <v>162</v>
      </c>
      <c r="E152" s="7" t="n">
        <f aca="false">COUNTIF(Closed_Deals!$B$2:$B$761,A152)</f>
        <v>5</v>
      </c>
      <c r="F152" s="7" t="n">
        <f aca="false">COUNTIFS(Closed_Deals!$B$2:$B$761,A152,Closed_Deals!$N$2:$N$761,"Won")</f>
        <v>1</v>
      </c>
      <c r="G152" s="7" t="n">
        <f aca="false">E152-F152</f>
        <v>4</v>
      </c>
      <c r="H152" s="11" t="n">
        <f aca="false">IFERROR(F152/E152,"")</f>
        <v>0.2</v>
      </c>
      <c r="I152" s="10" t="n">
        <f aca="false">SUMIFS(Closed_Deals!$M$2:$M$761,Closed_Deals!$B$2:$B$761,A152,Closed_Deals!$N$2:$N$761,"Won")</f>
        <v>91135.97</v>
      </c>
      <c r="J152" s="10" t="n">
        <f aca="false">IFERROR(I152/F152,"")</f>
        <v>91135.97</v>
      </c>
      <c r="K152" s="8" t="n">
        <f aca="false">IF(F152=0,"",_xlfn.MINIFS(Closed_Deals!$R$2:$R$761,Closed_Deals!$B$2:$B$761,A152,Closed_Deals!$N$2:$N$761,"Won"))</f>
        <v>45507</v>
      </c>
      <c r="L152" s="8" t="n">
        <f aca="false">IF(F152=0,"",_xlfn.MAXIFS(Closed_Deals!$R$2:$R$761,Closed_Deals!$B$2:$B$761,A152,Closed_Deals!$N$2:$N$761,"Won"))</f>
        <v>45507</v>
      </c>
      <c r="M152" s="7" t="n">
        <f aca="false">COUNTIF(Open_Pipeline!$B$2:$B$151,A152)</f>
        <v>2</v>
      </c>
      <c r="N152" s="10" t="n">
        <f aca="false">SUMIF(Open_Pipeline!$B$2:$B$151,A152,Open_Pipeline!$M$2:$M$151)</f>
        <v>146899.96</v>
      </c>
      <c r="O152" s="7" t="n">
        <f aca="true">IF(F152=0,"",TODAY()-L152)</f>
        <v>767</v>
      </c>
      <c r="P152" s="7" t="str">
        <f aca="false">IF(F152&gt;=2,"Yes","No")</f>
        <v>No</v>
      </c>
      <c r="Q152" s="7" t="str">
        <f aca="false">IF(F152=0,"No Won Business",IF(M152&gt;0,"Active - In Pipeline",IF(O152&lt;=365,"Active",IF(O152&lt;=545,"At Risk","Churned"))))</f>
        <v>Active - In Pipeline</v>
      </c>
    </row>
    <row r="153" customFormat="false" ht="15" hidden="false" customHeight="false" outlineLevel="0" collapsed="false">
      <c r="A153" s="7" t="s">
        <v>582</v>
      </c>
      <c r="B153" s="7" t="s">
        <v>583</v>
      </c>
      <c r="C153" s="7" t="s">
        <v>93</v>
      </c>
      <c r="D153" s="7" t="s">
        <v>115</v>
      </c>
      <c r="E153" s="7" t="n">
        <f aca="false">COUNTIF(Closed_Deals!$B$2:$B$761,A153)</f>
        <v>1</v>
      </c>
      <c r="F153" s="7" t="n">
        <f aca="false">COUNTIFS(Closed_Deals!$B$2:$B$761,A153,Closed_Deals!$N$2:$N$761,"Won")</f>
        <v>0</v>
      </c>
      <c r="G153" s="7" t="n">
        <f aca="false">E153-F153</f>
        <v>1</v>
      </c>
      <c r="H153" s="11" t="n">
        <f aca="false">IFERROR(F153/E153,"")</f>
        <v>0</v>
      </c>
      <c r="I153" s="10" t="n">
        <f aca="false">SUMIFS(Closed_Deals!$M$2:$M$761,Closed_Deals!$B$2:$B$761,A153,Closed_Deals!$N$2:$N$761,"Won")</f>
        <v>0</v>
      </c>
      <c r="J153" s="10" t="str">
        <f aca="false">IFERROR(I153/F153,"")</f>
        <v/>
      </c>
      <c r="K153" s="8" t="str">
        <f aca="false">IF(F153=0,"",_xlfn.MINIFS(Closed_Deals!$R$2:$R$761,Closed_Deals!$B$2:$B$761,A153,Closed_Deals!$N$2:$N$761,"Won"))</f>
        <v/>
      </c>
      <c r="L153" s="8" t="str">
        <f aca="false">IF(F153=0,"",_xlfn.MAXIFS(Closed_Deals!$R$2:$R$761,Closed_Deals!$B$2:$B$761,A153,Closed_Deals!$N$2:$N$761,"Won"))</f>
        <v/>
      </c>
      <c r="M153" s="7" t="n">
        <f aca="false">COUNTIF(Open_Pipeline!$B$2:$B$151,A153)</f>
        <v>0</v>
      </c>
      <c r="N153" s="10" t="n">
        <f aca="false">SUMIF(Open_Pipeline!$B$2:$B$151,A153,Open_Pipeline!$M$2:$M$151)</f>
        <v>0</v>
      </c>
      <c r="O153" s="7" t="str">
        <f aca="true">IF(F153=0,"",TODAY()-L153)</f>
        <v/>
      </c>
      <c r="P153" s="7" t="str">
        <f aca="false">IF(F153&gt;=2,"Yes","No")</f>
        <v>No</v>
      </c>
      <c r="Q153" s="7" t="str">
        <f aca="false">IF(F153=0,"No Won Business",IF(M153&gt;0,"Active - In Pipeline",IF(O153&lt;=365,"Active",IF(O153&lt;=545,"At Risk","Churned"))))</f>
        <v>No Won Business</v>
      </c>
    </row>
    <row r="154" customFormat="false" ht="15" hidden="false" customHeight="false" outlineLevel="0" collapsed="false">
      <c r="A154" s="7" t="s">
        <v>1564</v>
      </c>
      <c r="B154" s="7" t="s">
        <v>1565</v>
      </c>
      <c r="C154" s="7" t="s">
        <v>195</v>
      </c>
      <c r="D154" s="7" t="s">
        <v>105</v>
      </c>
      <c r="E154" s="7" t="n">
        <f aca="false">COUNTIF(Closed_Deals!$B$2:$B$761,A154)</f>
        <v>0</v>
      </c>
      <c r="F154" s="7" t="n">
        <f aca="false">COUNTIFS(Closed_Deals!$B$2:$B$761,A154,Closed_Deals!$N$2:$N$761,"Won")</f>
        <v>0</v>
      </c>
      <c r="G154" s="7" t="n">
        <f aca="false">E154-F154</f>
        <v>0</v>
      </c>
      <c r="H154" s="11" t="str">
        <f aca="false">IFERROR(F154/E154,"")</f>
        <v/>
      </c>
      <c r="I154" s="10" t="n">
        <f aca="false">SUMIFS(Closed_Deals!$M$2:$M$761,Closed_Deals!$B$2:$B$761,A154,Closed_Deals!$N$2:$N$761,"Won")</f>
        <v>0</v>
      </c>
      <c r="J154" s="10" t="str">
        <f aca="false">IFERROR(I154/F154,"")</f>
        <v/>
      </c>
      <c r="K154" s="8" t="str">
        <f aca="false">IF(F154=0,"",_xlfn.MINIFS(Closed_Deals!$R$2:$R$761,Closed_Deals!$B$2:$B$761,A154,Closed_Deals!$N$2:$N$761,"Won"))</f>
        <v/>
      </c>
      <c r="L154" s="8" t="str">
        <f aca="false">IF(F154=0,"",_xlfn.MAXIFS(Closed_Deals!$R$2:$R$761,Closed_Deals!$B$2:$B$761,A154,Closed_Deals!$N$2:$N$761,"Won"))</f>
        <v/>
      </c>
      <c r="M154" s="7" t="n">
        <f aca="false">COUNTIF(Open_Pipeline!$B$2:$B$151,A154)</f>
        <v>0</v>
      </c>
      <c r="N154" s="10" t="n">
        <f aca="false">SUMIF(Open_Pipeline!$B$2:$B$151,A154,Open_Pipeline!$M$2:$M$151)</f>
        <v>0</v>
      </c>
      <c r="O154" s="7" t="str">
        <f aca="true">IF(F154=0,"",TODAY()-L154)</f>
        <v/>
      </c>
      <c r="P154" s="7" t="str">
        <f aca="false">IF(F154&gt;=2,"Yes","No")</f>
        <v>No</v>
      </c>
      <c r="Q154" s="7" t="str">
        <f aca="false">IF(F154=0,"No Won Business",IF(M154&gt;0,"Active - In Pipeline",IF(O154&lt;=365,"Active",IF(O154&lt;=545,"At Risk","Churned"))))</f>
        <v>No Won Business</v>
      </c>
    </row>
    <row r="155" customFormat="false" ht="15" hidden="false" customHeight="false" outlineLevel="0" collapsed="false">
      <c r="A155" s="7" t="s">
        <v>1566</v>
      </c>
      <c r="B155" s="7" t="s">
        <v>1567</v>
      </c>
      <c r="C155" s="7" t="s">
        <v>135</v>
      </c>
      <c r="D155" s="7" t="s">
        <v>105</v>
      </c>
      <c r="E155" s="7" t="n">
        <f aca="false">COUNTIF(Closed_Deals!$B$2:$B$761,A155)</f>
        <v>0</v>
      </c>
      <c r="F155" s="7" t="n">
        <f aca="false">COUNTIFS(Closed_Deals!$B$2:$B$761,A155,Closed_Deals!$N$2:$N$761,"Won")</f>
        <v>0</v>
      </c>
      <c r="G155" s="7" t="n">
        <f aca="false">E155-F155</f>
        <v>0</v>
      </c>
      <c r="H155" s="11" t="str">
        <f aca="false">IFERROR(F155/E155,"")</f>
        <v/>
      </c>
      <c r="I155" s="10" t="n">
        <f aca="false">SUMIFS(Closed_Deals!$M$2:$M$761,Closed_Deals!$B$2:$B$761,A155,Closed_Deals!$N$2:$N$761,"Won")</f>
        <v>0</v>
      </c>
      <c r="J155" s="10" t="str">
        <f aca="false">IFERROR(I155/F155,"")</f>
        <v/>
      </c>
      <c r="K155" s="8" t="str">
        <f aca="false">IF(F155=0,"",_xlfn.MINIFS(Closed_Deals!$R$2:$R$761,Closed_Deals!$B$2:$B$761,A155,Closed_Deals!$N$2:$N$761,"Won"))</f>
        <v/>
      </c>
      <c r="L155" s="8" t="str">
        <f aca="false">IF(F155=0,"",_xlfn.MAXIFS(Closed_Deals!$R$2:$R$761,Closed_Deals!$B$2:$B$761,A155,Closed_Deals!$N$2:$N$761,"Won"))</f>
        <v/>
      </c>
      <c r="M155" s="7" t="n">
        <f aca="false">COUNTIF(Open_Pipeline!$B$2:$B$151,A155)</f>
        <v>0</v>
      </c>
      <c r="N155" s="10" t="n">
        <f aca="false">SUMIF(Open_Pipeline!$B$2:$B$151,A155,Open_Pipeline!$M$2:$M$151)</f>
        <v>0</v>
      </c>
      <c r="O155" s="7" t="str">
        <f aca="true">IF(F155=0,"",TODAY()-L155)</f>
        <v/>
      </c>
      <c r="P155" s="7" t="str">
        <f aca="false">IF(F155&gt;=2,"Yes","No")</f>
        <v>No</v>
      </c>
      <c r="Q155" s="7" t="str">
        <f aca="false">IF(F155=0,"No Won Business",IF(M155&gt;0,"Active - In Pipeline",IF(O155&lt;=365,"Active",IF(O155&lt;=545,"At Risk","Churned"))))</f>
        <v>No Won Business</v>
      </c>
    </row>
    <row r="156" customFormat="false" ht="15" hidden="false" customHeight="false" outlineLevel="0" collapsed="false">
      <c r="A156" s="7" t="s">
        <v>470</v>
      </c>
      <c r="B156" s="7" t="s">
        <v>471</v>
      </c>
      <c r="C156" s="7" t="s">
        <v>201</v>
      </c>
      <c r="D156" s="7" t="s">
        <v>115</v>
      </c>
      <c r="E156" s="7" t="n">
        <f aca="false">COUNTIF(Closed_Deals!$B$2:$B$761,A156)</f>
        <v>5</v>
      </c>
      <c r="F156" s="7" t="n">
        <f aca="false">COUNTIFS(Closed_Deals!$B$2:$B$761,A156,Closed_Deals!$N$2:$N$761,"Won")</f>
        <v>1</v>
      </c>
      <c r="G156" s="7" t="n">
        <f aca="false">E156-F156</f>
        <v>4</v>
      </c>
      <c r="H156" s="11" t="n">
        <f aca="false">IFERROR(F156/E156,"")</f>
        <v>0.2</v>
      </c>
      <c r="I156" s="10" t="n">
        <f aca="false">SUMIFS(Closed_Deals!$M$2:$M$761,Closed_Deals!$B$2:$B$761,A156,Closed_Deals!$N$2:$N$761,"Won")</f>
        <v>73935.56</v>
      </c>
      <c r="J156" s="10" t="n">
        <f aca="false">IFERROR(I156/F156,"")</f>
        <v>73935.56</v>
      </c>
      <c r="K156" s="8" t="n">
        <f aca="false">IF(F156=0,"",_xlfn.MINIFS(Closed_Deals!$R$2:$R$761,Closed_Deals!$B$2:$B$761,A156,Closed_Deals!$N$2:$N$761,"Won"))</f>
        <v>45877</v>
      </c>
      <c r="L156" s="8" t="n">
        <f aca="false">IF(F156=0,"",_xlfn.MAXIFS(Closed_Deals!$R$2:$R$761,Closed_Deals!$B$2:$B$761,A156,Closed_Deals!$N$2:$N$761,"Won"))</f>
        <v>45877</v>
      </c>
      <c r="M156" s="7" t="n">
        <f aca="false">COUNTIF(Open_Pipeline!$B$2:$B$151,A156)</f>
        <v>0</v>
      </c>
      <c r="N156" s="10" t="n">
        <f aca="false">SUMIF(Open_Pipeline!$B$2:$B$151,A156,Open_Pipeline!$M$2:$M$151)</f>
        <v>0</v>
      </c>
      <c r="O156" s="7" t="n">
        <f aca="true">IF(F156=0,"",TODAY()-L156)</f>
        <v>397</v>
      </c>
      <c r="P156" s="7" t="str">
        <f aca="false">IF(F156&gt;=2,"Yes","No")</f>
        <v>No</v>
      </c>
      <c r="Q156" s="7" t="str">
        <f aca="false">IF(F156=0,"No Won Business",IF(M156&gt;0,"Active - In Pipeline",IF(O156&lt;=365,"Active",IF(O156&lt;=545,"At Risk","Churned"))))</f>
        <v>At Risk</v>
      </c>
    </row>
    <row r="157" customFormat="false" ht="15" hidden="false" customHeight="false" outlineLevel="0" collapsed="false">
      <c r="A157" s="7" t="s">
        <v>641</v>
      </c>
      <c r="B157" s="7" t="s">
        <v>642</v>
      </c>
      <c r="C157" s="7" t="s">
        <v>104</v>
      </c>
      <c r="D157" s="7" t="s">
        <v>115</v>
      </c>
      <c r="E157" s="7" t="n">
        <f aca="false">COUNTIF(Closed_Deals!$B$2:$B$761,A157)</f>
        <v>3</v>
      </c>
      <c r="F157" s="7" t="n">
        <f aca="false">COUNTIFS(Closed_Deals!$B$2:$B$761,A157,Closed_Deals!$N$2:$N$761,"Won")</f>
        <v>0</v>
      </c>
      <c r="G157" s="7" t="n">
        <f aca="false">E157-F157</f>
        <v>3</v>
      </c>
      <c r="H157" s="11" t="n">
        <f aca="false">IFERROR(F157/E157,"")</f>
        <v>0</v>
      </c>
      <c r="I157" s="10" t="n">
        <f aca="false">SUMIFS(Closed_Deals!$M$2:$M$761,Closed_Deals!$B$2:$B$761,A157,Closed_Deals!$N$2:$N$761,"Won")</f>
        <v>0</v>
      </c>
      <c r="J157" s="10" t="str">
        <f aca="false">IFERROR(I157/F157,"")</f>
        <v/>
      </c>
      <c r="K157" s="8" t="str">
        <f aca="false">IF(F157=0,"",_xlfn.MINIFS(Closed_Deals!$R$2:$R$761,Closed_Deals!$B$2:$B$761,A157,Closed_Deals!$N$2:$N$761,"Won"))</f>
        <v/>
      </c>
      <c r="L157" s="8" t="str">
        <f aca="false">IF(F157=0,"",_xlfn.MAXIFS(Closed_Deals!$R$2:$R$761,Closed_Deals!$B$2:$B$761,A157,Closed_Deals!$N$2:$N$761,"Won"))</f>
        <v/>
      </c>
      <c r="M157" s="7" t="n">
        <f aca="false">COUNTIF(Open_Pipeline!$B$2:$B$151,A157)</f>
        <v>0</v>
      </c>
      <c r="N157" s="10" t="n">
        <f aca="false">SUMIF(Open_Pipeline!$B$2:$B$151,A157,Open_Pipeline!$M$2:$M$151)</f>
        <v>0</v>
      </c>
      <c r="O157" s="7" t="str">
        <f aca="true">IF(F157=0,"",TODAY()-L157)</f>
        <v/>
      </c>
      <c r="P157" s="7" t="str">
        <f aca="false">IF(F157&gt;=2,"Yes","No")</f>
        <v>No</v>
      </c>
      <c r="Q157" s="7" t="str">
        <f aca="false">IF(F157=0,"No Won Business",IF(M157&gt;0,"Active - In Pipeline",IF(O157&lt;=365,"Active",IF(O157&lt;=545,"At Risk","Churned"))))</f>
        <v>No Won Business</v>
      </c>
    </row>
    <row r="158" customFormat="false" ht="15" hidden="false" customHeight="false" outlineLevel="0" collapsed="false">
      <c r="A158" s="7" t="s">
        <v>512</v>
      </c>
      <c r="B158" s="7" t="s">
        <v>513</v>
      </c>
      <c r="C158" s="7" t="s">
        <v>114</v>
      </c>
      <c r="D158" s="7" t="s">
        <v>115</v>
      </c>
      <c r="E158" s="7" t="n">
        <f aca="false">COUNTIF(Closed_Deals!$B$2:$B$761,A158)</f>
        <v>5</v>
      </c>
      <c r="F158" s="7" t="n">
        <f aca="false">COUNTIFS(Closed_Deals!$B$2:$B$761,A158,Closed_Deals!$N$2:$N$761,"Won")</f>
        <v>1</v>
      </c>
      <c r="G158" s="7" t="n">
        <f aca="false">E158-F158</f>
        <v>4</v>
      </c>
      <c r="H158" s="11" t="n">
        <f aca="false">IFERROR(F158/E158,"")</f>
        <v>0.2</v>
      </c>
      <c r="I158" s="10" t="n">
        <f aca="false">SUMIFS(Closed_Deals!$M$2:$M$761,Closed_Deals!$B$2:$B$761,A158,Closed_Deals!$N$2:$N$761,"Won")</f>
        <v>70536.79</v>
      </c>
      <c r="J158" s="10" t="n">
        <f aca="false">IFERROR(I158/F158,"")</f>
        <v>70536.79</v>
      </c>
      <c r="K158" s="8" t="n">
        <f aca="false">IF(F158=0,"",_xlfn.MINIFS(Closed_Deals!$R$2:$R$761,Closed_Deals!$B$2:$B$761,A158,Closed_Deals!$N$2:$N$761,"Won"))</f>
        <v>45735</v>
      </c>
      <c r="L158" s="8" t="n">
        <f aca="false">IF(F158=0,"",_xlfn.MAXIFS(Closed_Deals!$R$2:$R$761,Closed_Deals!$B$2:$B$761,A158,Closed_Deals!$N$2:$N$761,"Won"))</f>
        <v>45735</v>
      </c>
      <c r="M158" s="7" t="n">
        <f aca="false">COUNTIF(Open_Pipeline!$B$2:$B$151,A158)</f>
        <v>1</v>
      </c>
      <c r="N158" s="10" t="n">
        <f aca="false">SUMIF(Open_Pipeline!$B$2:$B$151,A158,Open_Pipeline!$M$2:$M$151)</f>
        <v>191526.45</v>
      </c>
      <c r="O158" s="7" t="n">
        <f aca="true">IF(F158=0,"",TODAY()-L158)</f>
        <v>539</v>
      </c>
      <c r="P158" s="7" t="str">
        <f aca="false">IF(F158&gt;=2,"Yes","No")</f>
        <v>No</v>
      </c>
      <c r="Q158" s="7" t="str">
        <f aca="false">IF(F158=0,"No Won Business",IF(M158&gt;0,"Active - In Pipeline",IF(O158&lt;=365,"Active",IF(O158&lt;=545,"At Risk","Churned"))))</f>
        <v>Active - In Pipeline</v>
      </c>
    </row>
    <row r="159" customFormat="false" ht="15" hidden="false" customHeight="false" outlineLevel="0" collapsed="false">
      <c r="A159" s="7" t="s">
        <v>300</v>
      </c>
      <c r="B159" s="7" t="s">
        <v>301</v>
      </c>
      <c r="C159" s="7" t="s">
        <v>104</v>
      </c>
      <c r="D159" s="7" t="s">
        <v>94</v>
      </c>
      <c r="E159" s="7" t="n">
        <f aca="false">COUNTIF(Closed_Deals!$B$2:$B$761,A159)</f>
        <v>2</v>
      </c>
      <c r="F159" s="7" t="n">
        <f aca="false">COUNTIFS(Closed_Deals!$B$2:$B$761,A159,Closed_Deals!$N$2:$N$761,"Won")</f>
        <v>1</v>
      </c>
      <c r="G159" s="7" t="n">
        <f aca="false">E159-F159</f>
        <v>1</v>
      </c>
      <c r="H159" s="11" t="n">
        <f aca="false">IFERROR(F159/E159,"")</f>
        <v>0.5</v>
      </c>
      <c r="I159" s="10" t="n">
        <f aca="false">SUMIFS(Closed_Deals!$M$2:$M$761,Closed_Deals!$B$2:$B$761,A159,Closed_Deals!$N$2:$N$761,"Won")</f>
        <v>137141.75</v>
      </c>
      <c r="J159" s="10" t="n">
        <f aca="false">IFERROR(I159/F159,"")</f>
        <v>137141.75</v>
      </c>
      <c r="K159" s="8" t="n">
        <f aca="false">IF(F159=0,"",_xlfn.MINIFS(Closed_Deals!$R$2:$R$761,Closed_Deals!$B$2:$B$761,A159,Closed_Deals!$N$2:$N$761,"Won"))</f>
        <v>45799</v>
      </c>
      <c r="L159" s="8" t="n">
        <f aca="false">IF(F159=0,"",_xlfn.MAXIFS(Closed_Deals!$R$2:$R$761,Closed_Deals!$B$2:$B$761,A159,Closed_Deals!$N$2:$N$761,"Won"))</f>
        <v>45799</v>
      </c>
      <c r="M159" s="7" t="n">
        <f aca="false">COUNTIF(Open_Pipeline!$B$2:$B$151,A159)</f>
        <v>1</v>
      </c>
      <c r="N159" s="10" t="n">
        <f aca="false">SUMIF(Open_Pipeline!$B$2:$B$151,A159,Open_Pipeline!$M$2:$M$151)</f>
        <v>65958.78</v>
      </c>
      <c r="O159" s="7" t="n">
        <f aca="true">IF(F159=0,"",TODAY()-L159)</f>
        <v>475</v>
      </c>
      <c r="P159" s="7" t="str">
        <f aca="false">IF(F159&gt;=2,"Yes","No")</f>
        <v>No</v>
      </c>
      <c r="Q159" s="7" t="str">
        <f aca="false">IF(F159=0,"No Won Business",IF(M159&gt;0,"Active - In Pipeline",IF(O159&lt;=365,"Active",IF(O159&lt;=545,"At Risk","Churned"))))</f>
        <v>Active - In Pipeline</v>
      </c>
    </row>
    <row r="160" customFormat="false" ht="15" hidden="false" customHeight="false" outlineLevel="0" collapsed="false">
      <c r="A160" s="7" t="s">
        <v>845</v>
      </c>
      <c r="B160" s="7" t="s">
        <v>846</v>
      </c>
      <c r="C160" s="7" t="s">
        <v>93</v>
      </c>
      <c r="D160" s="7" t="s">
        <v>162</v>
      </c>
      <c r="E160" s="7" t="n">
        <f aca="false">COUNTIF(Closed_Deals!$B$2:$B$761,A160)</f>
        <v>3</v>
      </c>
      <c r="F160" s="7" t="n">
        <f aca="false">COUNTIFS(Closed_Deals!$B$2:$B$761,A160,Closed_Deals!$N$2:$N$761,"Won")</f>
        <v>1</v>
      </c>
      <c r="G160" s="7" t="n">
        <f aca="false">E160-F160</f>
        <v>2</v>
      </c>
      <c r="H160" s="11" t="n">
        <f aca="false">IFERROR(F160/E160,"")</f>
        <v>0.333333333333333</v>
      </c>
      <c r="I160" s="10" t="n">
        <f aca="false">SUMIFS(Closed_Deals!$M$2:$M$761,Closed_Deals!$B$2:$B$761,A160,Closed_Deals!$N$2:$N$761,"Won")</f>
        <v>207834.12</v>
      </c>
      <c r="J160" s="10" t="n">
        <f aca="false">IFERROR(I160/F160,"")</f>
        <v>207834.12</v>
      </c>
      <c r="K160" s="8" t="n">
        <f aca="false">IF(F160=0,"",_xlfn.MINIFS(Closed_Deals!$R$2:$R$761,Closed_Deals!$B$2:$B$761,A160,Closed_Deals!$N$2:$N$761,"Won"))</f>
        <v>46182</v>
      </c>
      <c r="L160" s="8" t="n">
        <f aca="false">IF(F160=0,"",_xlfn.MAXIFS(Closed_Deals!$R$2:$R$761,Closed_Deals!$B$2:$B$761,A160,Closed_Deals!$N$2:$N$761,"Won"))</f>
        <v>46182</v>
      </c>
      <c r="M160" s="7" t="n">
        <f aca="false">COUNTIF(Open_Pipeline!$B$2:$B$151,A160)</f>
        <v>0</v>
      </c>
      <c r="N160" s="10" t="n">
        <f aca="false">SUMIF(Open_Pipeline!$B$2:$B$151,A160,Open_Pipeline!$M$2:$M$151)</f>
        <v>0</v>
      </c>
      <c r="O160" s="7" t="n">
        <f aca="true">IF(F160=0,"",TODAY()-L160)</f>
        <v>92</v>
      </c>
      <c r="P160" s="7" t="str">
        <f aca="false">IF(F160&gt;=2,"Yes","No")</f>
        <v>No</v>
      </c>
      <c r="Q160" s="7" t="str">
        <f aca="false">IF(F160=0,"No Won Business",IF(M160&gt;0,"Active - In Pipeline",IF(O160&lt;=365,"Active",IF(O160&lt;=545,"At Risk","Churned"))))</f>
        <v>Active</v>
      </c>
    </row>
    <row r="161" customFormat="false" ht="15" hidden="false" customHeight="false" outlineLevel="0" collapsed="false">
      <c r="A161" s="7" t="s">
        <v>813</v>
      </c>
      <c r="B161" s="7" t="s">
        <v>814</v>
      </c>
      <c r="C161" s="7" t="s">
        <v>242</v>
      </c>
      <c r="D161" s="7" t="s">
        <v>105</v>
      </c>
      <c r="E161" s="7" t="n">
        <f aca="false">COUNTIF(Closed_Deals!$B$2:$B$761,A161)</f>
        <v>1</v>
      </c>
      <c r="F161" s="7" t="n">
        <f aca="false">COUNTIFS(Closed_Deals!$B$2:$B$761,A161,Closed_Deals!$N$2:$N$761,"Won")</f>
        <v>1</v>
      </c>
      <c r="G161" s="7" t="n">
        <f aca="false">E161-F161</f>
        <v>0</v>
      </c>
      <c r="H161" s="11" t="n">
        <f aca="false">IFERROR(F161/E161,"")</f>
        <v>1</v>
      </c>
      <c r="I161" s="10" t="n">
        <f aca="false">SUMIFS(Closed_Deals!$M$2:$M$761,Closed_Deals!$B$2:$B$761,A161,Closed_Deals!$N$2:$N$761,"Won")</f>
        <v>149773.12</v>
      </c>
      <c r="J161" s="10" t="n">
        <f aca="false">IFERROR(I161/F161,"")</f>
        <v>149773.12</v>
      </c>
      <c r="K161" s="8" t="n">
        <f aca="false">IF(F161=0,"",_xlfn.MINIFS(Closed_Deals!$R$2:$R$761,Closed_Deals!$B$2:$B$761,A161,Closed_Deals!$N$2:$N$761,"Won"))</f>
        <v>45880</v>
      </c>
      <c r="L161" s="8" t="n">
        <f aca="false">IF(F161=0,"",_xlfn.MAXIFS(Closed_Deals!$R$2:$R$761,Closed_Deals!$B$2:$B$761,A161,Closed_Deals!$N$2:$N$761,"Won"))</f>
        <v>45880</v>
      </c>
      <c r="M161" s="7" t="n">
        <f aca="false">COUNTIF(Open_Pipeline!$B$2:$B$151,A161)</f>
        <v>0</v>
      </c>
      <c r="N161" s="10" t="n">
        <f aca="false">SUMIF(Open_Pipeline!$B$2:$B$151,A161,Open_Pipeline!$M$2:$M$151)</f>
        <v>0</v>
      </c>
      <c r="O161" s="7" t="n">
        <f aca="true">IF(F161=0,"",TODAY()-L161)</f>
        <v>394</v>
      </c>
      <c r="P161" s="7" t="str">
        <f aca="false">IF(F161&gt;=2,"Yes","No")</f>
        <v>No</v>
      </c>
      <c r="Q161" s="7" t="str">
        <f aca="false">IF(F161=0,"No Won Business",IF(M161&gt;0,"Active - In Pipeline",IF(O161&lt;=365,"Active",IF(O161&lt;=545,"At Risk","Churned"))))</f>
        <v>At Risk</v>
      </c>
    </row>
    <row r="162" customFormat="false" ht="15" hidden="false" customHeight="false" outlineLevel="0" collapsed="false">
      <c r="A162" s="7" t="s">
        <v>1568</v>
      </c>
      <c r="B162" s="7" t="s">
        <v>1569</v>
      </c>
      <c r="C162" s="7" t="s">
        <v>104</v>
      </c>
      <c r="D162" s="7" t="s">
        <v>105</v>
      </c>
      <c r="E162" s="7" t="n">
        <f aca="false">COUNTIF(Closed_Deals!$B$2:$B$761,A162)</f>
        <v>0</v>
      </c>
      <c r="F162" s="7" t="n">
        <f aca="false">COUNTIFS(Closed_Deals!$B$2:$B$761,A162,Closed_Deals!$N$2:$N$761,"Won")</f>
        <v>0</v>
      </c>
      <c r="G162" s="7" t="n">
        <f aca="false">E162-F162</f>
        <v>0</v>
      </c>
      <c r="H162" s="11" t="str">
        <f aca="false">IFERROR(F162/E162,"")</f>
        <v/>
      </c>
      <c r="I162" s="10" t="n">
        <f aca="false">SUMIFS(Closed_Deals!$M$2:$M$761,Closed_Deals!$B$2:$B$761,A162,Closed_Deals!$N$2:$N$761,"Won")</f>
        <v>0</v>
      </c>
      <c r="J162" s="10" t="str">
        <f aca="false">IFERROR(I162/F162,"")</f>
        <v/>
      </c>
      <c r="K162" s="8" t="str">
        <f aca="false">IF(F162=0,"",_xlfn.MINIFS(Closed_Deals!$R$2:$R$761,Closed_Deals!$B$2:$B$761,A162,Closed_Deals!$N$2:$N$761,"Won"))</f>
        <v/>
      </c>
      <c r="L162" s="8" t="str">
        <f aca="false">IF(F162=0,"",_xlfn.MAXIFS(Closed_Deals!$R$2:$R$761,Closed_Deals!$B$2:$B$761,A162,Closed_Deals!$N$2:$N$761,"Won"))</f>
        <v/>
      </c>
      <c r="M162" s="7" t="n">
        <f aca="false">COUNTIF(Open_Pipeline!$B$2:$B$151,A162)</f>
        <v>0</v>
      </c>
      <c r="N162" s="10" t="n">
        <f aca="false">SUMIF(Open_Pipeline!$B$2:$B$151,A162,Open_Pipeline!$M$2:$M$151)</f>
        <v>0</v>
      </c>
      <c r="O162" s="7" t="str">
        <f aca="true">IF(F162=0,"",TODAY()-L162)</f>
        <v/>
      </c>
      <c r="P162" s="7" t="str">
        <f aca="false">IF(F162&gt;=2,"Yes","No")</f>
        <v>No</v>
      </c>
      <c r="Q162" s="7" t="str">
        <f aca="false">IF(F162=0,"No Won Business",IF(M162&gt;0,"Active - In Pipeline",IF(O162&lt;=365,"Active",IF(O162&lt;=545,"At Risk","Churned"))))</f>
        <v>No Won Business</v>
      </c>
    </row>
    <row r="163" customFormat="false" ht="15" hidden="false" customHeight="false" outlineLevel="0" collapsed="false">
      <c r="A163" s="7" t="s">
        <v>149</v>
      </c>
      <c r="B163" s="7" t="s">
        <v>150</v>
      </c>
      <c r="C163" s="7" t="s">
        <v>151</v>
      </c>
      <c r="D163" s="7" t="s">
        <v>94</v>
      </c>
      <c r="E163" s="7" t="n">
        <f aca="false">COUNTIF(Closed_Deals!$B$2:$B$761,A163)</f>
        <v>6</v>
      </c>
      <c r="F163" s="7" t="n">
        <f aca="false">COUNTIFS(Closed_Deals!$B$2:$B$761,A163,Closed_Deals!$N$2:$N$761,"Won")</f>
        <v>1</v>
      </c>
      <c r="G163" s="7" t="n">
        <f aca="false">E163-F163</f>
        <v>5</v>
      </c>
      <c r="H163" s="11" t="n">
        <f aca="false">IFERROR(F163/E163,"")</f>
        <v>0.166666666666667</v>
      </c>
      <c r="I163" s="10" t="n">
        <f aca="false">SUMIFS(Closed_Deals!$M$2:$M$761,Closed_Deals!$B$2:$B$761,A163,Closed_Deals!$N$2:$N$761,"Won")</f>
        <v>104282.91</v>
      </c>
      <c r="J163" s="10" t="n">
        <f aca="false">IFERROR(I163/F163,"")</f>
        <v>104282.91</v>
      </c>
      <c r="K163" s="8" t="n">
        <f aca="false">IF(F163=0,"",_xlfn.MINIFS(Closed_Deals!$R$2:$R$761,Closed_Deals!$B$2:$B$761,A163,Closed_Deals!$N$2:$N$761,"Won"))</f>
        <v>45509</v>
      </c>
      <c r="L163" s="8" t="n">
        <f aca="false">IF(F163=0,"",_xlfn.MAXIFS(Closed_Deals!$R$2:$R$761,Closed_Deals!$B$2:$B$761,A163,Closed_Deals!$N$2:$N$761,"Won"))</f>
        <v>45509</v>
      </c>
      <c r="M163" s="7" t="n">
        <f aca="false">COUNTIF(Open_Pipeline!$B$2:$B$151,A163)</f>
        <v>1</v>
      </c>
      <c r="N163" s="10" t="n">
        <f aca="false">SUMIF(Open_Pipeline!$B$2:$B$151,A163,Open_Pipeline!$M$2:$M$151)</f>
        <v>131656.11</v>
      </c>
      <c r="O163" s="7" t="n">
        <f aca="true">IF(F163=0,"",TODAY()-L163)</f>
        <v>765</v>
      </c>
      <c r="P163" s="7" t="str">
        <f aca="false">IF(F163&gt;=2,"Yes","No")</f>
        <v>No</v>
      </c>
      <c r="Q163" s="7" t="str">
        <f aca="false">IF(F163=0,"No Won Business",IF(M163&gt;0,"Active - In Pipeline",IF(O163&lt;=365,"Active",IF(O163&lt;=545,"At Risk","Churned"))))</f>
        <v>Active - In Pipeline</v>
      </c>
    </row>
    <row r="164" customFormat="false" ht="15" hidden="false" customHeight="false" outlineLevel="0" collapsed="false">
      <c r="A164" s="7" t="s">
        <v>1570</v>
      </c>
      <c r="B164" s="7" t="s">
        <v>1571</v>
      </c>
      <c r="C164" s="7" t="s">
        <v>201</v>
      </c>
      <c r="D164" s="7" t="s">
        <v>105</v>
      </c>
      <c r="E164" s="7" t="n">
        <f aca="false">COUNTIF(Closed_Deals!$B$2:$B$761,A164)</f>
        <v>0</v>
      </c>
      <c r="F164" s="7" t="n">
        <f aca="false">COUNTIFS(Closed_Deals!$B$2:$B$761,A164,Closed_Deals!$N$2:$N$761,"Won")</f>
        <v>0</v>
      </c>
      <c r="G164" s="7" t="n">
        <f aca="false">E164-F164</f>
        <v>0</v>
      </c>
      <c r="H164" s="11" t="str">
        <f aca="false">IFERROR(F164/E164,"")</f>
        <v/>
      </c>
      <c r="I164" s="10" t="n">
        <f aca="false">SUMIFS(Closed_Deals!$M$2:$M$761,Closed_Deals!$B$2:$B$761,A164,Closed_Deals!$N$2:$N$761,"Won")</f>
        <v>0</v>
      </c>
      <c r="J164" s="10" t="str">
        <f aca="false">IFERROR(I164/F164,"")</f>
        <v/>
      </c>
      <c r="K164" s="8" t="str">
        <f aca="false">IF(F164=0,"",_xlfn.MINIFS(Closed_Deals!$R$2:$R$761,Closed_Deals!$B$2:$B$761,A164,Closed_Deals!$N$2:$N$761,"Won"))</f>
        <v/>
      </c>
      <c r="L164" s="8" t="str">
        <f aca="false">IF(F164=0,"",_xlfn.MAXIFS(Closed_Deals!$R$2:$R$761,Closed_Deals!$B$2:$B$761,A164,Closed_Deals!$N$2:$N$761,"Won"))</f>
        <v/>
      </c>
      <c r="M164" s="7" t="n">
        <f aca="false">COUNTIF(Open_Pipeline!$B$2:$B$151,A164)</f>
        <v>0</v>
      </c>
      <c r="N164" s="10" t="n">
        <f aca="false">SUMIF(Open_Pipeline!$B$2:$B$151,A164,Open_Pipeline!$M$2:$M$151)</f>
        <v>0</v>
      </c>
      <c r="O164" s="7" t="str">
        <f aca="true">IF(F164=0,"",TODAY()-L164)</f>
        <v/>
      </c>
      <c r="P164" s="7" t="str">
        <f aca="false">IF(F164&gt;=2,"Yes","No")</f>
        <v>No</v>
      </c>
      <c r="Q164" s="7" t="str">
        <f aca="false">IF(F164=0,"No Won Business",IF(M164&gt;0,"Active - In Pipeline",IF(O164&lt;=365,"Active",IF(O164&lt;=545,"At Risk","Churned"))))</f>
        <v>No Won Business</v>
      </c>
    </row>
    <row r="165" customFormat="false" ht="15" hidden="false" customHeight="false" outlineLevel="0" collapsed="false">
      <c r="A165" s="7" t="s">
        <v>454</v>
      </c>
      <c r="B165" s="7" t="s">
        <v>455</v>
      </c>
      <c r="C165" s="7" t="s">
        <v>242</v>
      </c>
      <c r="D165" s="7" t="s">
        <v>105</v>
      </c>
      <c r="E165" s="7" t="n">
        <f aca="false">COUNTIF(Closed_Deals!$B$2:$B$761,A165)</f>
        <v>1</v>
      </c>
      <c r="F165" s="7" t="n">
        <f aca="false">COUNTIFS(Closed_Deals!$B$2:$B$761,A165,Closed_Deals!$N$2:$N$761,"Won")</f>
        <v>1</v>
      </c>
      <c r="G165" s="7" t="n">
        <f aca="false">E165-F165</f>
        <v>0</v>
      </c>
      <c r="H165" s="11" t="n">
        <f aca="false">IFERROR(F165/E165,"")</f>
        <v>1</v>
      </c>
      <c r="I165" s="10" t="n">
        <f aca="false">SUMIFS(Closed_Deals!$M$2:$M$761,Closed_Deals!$B$2:$B$761,A165,Closed_Deals!$N$2:$N$761,"Won")</f>
        <v>67947.38</v>
      </c>
      <c r="J165" s="10" t="n">
        <f aca="false">IFERROR(I165/F165,"")</f>
        <v>67947.38</v>
      </c>
      <c r="K165" s="8" t="n">
        <f aca="false">IF(F165=0,"",_xlfn.MINIFS(Closed_Deals!$R$2:$R$761,Closed_Deals!$B$2:$B$761,A165,Closed_Deals!$N$2:$N$761,"Won"))</f>
        <v>45862</v>
      </c>
      <c r="L165" s="8" t="n">
        <f aca="false">IF(F165=0,"",_xlfn.MAXIFS(Closed_Deals!$R$2:$R$761,Closed_Deals!$B$2:$B$761,A165,Closed_Deals!$N$2:$N$761,"Won"))</f>
        <v>45862</v>
      </c>
      <c r="M165" s="7" t="n">
        <f aca="false">COUNTIF(Open_Pipeline!$B$2:$B$151,A165)</f>
        <v>3</v>
      </c>
      <c r="N165" s="10" t="n">
        <f aca="false">SUMIF(Open_Pipeline!$B$2:$B$151,A165,Open_Pipeline!$M$2:$M$151)</f>
        <v>423635.35</v>
      </c>
      <c r="O165" s="7" t="n">
        <f aca="true">IF(F165=0,"",TODAY()-L165)</f>
        <v>412</v>
      </c>
      <c r="P165" s="7" t="str">
        <f aca="false">IF(F165&gt;=2,"Yes","No")</f>
        <v>No</v>
      </c>
      <c r="Q165" s="7" t="str">
        <f aca="false">IF(F165=0,"No Won Business",IF(M165&gt;0,"Active - In Pipeline",IF(O165&lt;=365,"Active",IF(O165&lt;=545,"At Risk","Churned"))))</f>
        <v>Active - In Pipeline</v>
      </c>
    </row>
    <row r="166" customFormat="false" ht="15" hidden="false" customHeight="false" outlineLevel="0" collapsed="false">
      <c r="A166" s="7" t="s">
        <v>998</v>
      </c>
      <c r="B166" s="7" t="s">
        <v>999</v>
      </c>
      <c r="C166" s="7" t="s">
        <v>104</v>
      </c>
      <c r="D166" s="7" t="s">
        <v>115</v>
      </c>
      <c r="E166" s="7" t="n">
        <f aca="false">COUNTIF(Closed_Deals!$B$2:$B$761,A166)</f>
        <v>1</v>
      </c>
      <c r="F166" s="7" t="n">
        <f aca="false">COUNTIFS(Closed_Deals!$B$2:$B$761,A166,Closed_Deals!$N$2:$N$761,"Won")</f>
        <v>0</v>
      </c>
      <c r="G166" s="7" t="n">
        <f aca="false">E166-F166</f>
        <v>1</v>
      </c>
      <c r="H166" s="11" t="n">
        <f aca="false">IFERROR(F166/E166,"")</f>
        <v>0</v>
      </c>
      <c r="I166" s="10" t="n">
        <f aca="false">SUMIFS(Closed_Deals!$M$2:$M$761,Closed_Deals!$B$2:$B$761,A166,Closed_Deals!$N$2:$N$761,"Won")</f>
        <v>0</v>
      </c>
      <c r="J166" s="10" t="str">
        <f aca="false">IFERROR(I166/F166,"")</f>
        <v/>
      </c>
      <c r="K166" s="8" t="str">
        <f aca="false">IF(F166=0,"",_xlfn.MINIFS(Closed_Deals!$R$2:$R$761,Closed_Deals!$B$2:$B$761,A166,Closed_Deals!$N$2:$N$761,"Won"))</f>
        <v/>
      </c>
      <c r="L166" s="8" t="str">
        <f aca="false">IF(F166=0,"",_xlfn.MAXIFS(Closed_Deals!$R$2:$R$761,Closed_Deals!$B$2:$B$761,A166,Closed_Deals!$N$2:$N$761,"Won"))</f>
        <v/>
      </c>
      <c r="M166" s="7" t="n">
        <f aca="false">COUNTIF(Open_Pipeline!$B$2:$B$151,A166)</f>
        <v>0</v>
      </c>
      <c r="N166" s="10" t="n">
        <f aca="false">SUMIF(Open_Pipeline!$B$2:$B$151,A166,Open_Pipeline!$M$2:$M$151)</f>
        <v>0</v>
      </c>
      <c r="O166" s="7" t="str">
        <f aca="true">IF(F166=0,"",TODAY()-L166)</f>
        <v/>
      </c>
      <c r="P166" s="7" t="str">
        <f aca="false">IF(F166&gt;=2,"Yes","No")</f>
        <v>No</v>
      </c>
      <c r="Q166" s="7" t="str">
        <f aca="false">IF(F166=0,"No Won Business",IF(M166&gt;0,"Active - In Pipeline",IF(O166&lt;=365,"Active",IF(O166&lt;=545,"At Risk","Churned"))))</f>
        <v>No Won Business</v>
      </c>
    </row>
    <row r="167" customFormat="false" ht="15" hidden="false" customHeight="false" outlineLevel="0" collapsed="false">
      <c r="A167" s="7" t="s">
        <v>353</v>
      </c>
      <c r="B167" s="7" t="s">
        <v>354</v>
      </c>
      <c r="C167" s="7" t="s">
        <v>151</v>
      </c>
      <c r="D167" s="7" t="s">
        <v>105</v>
      </c>
      <c r="E167" s="7" t="n">
        <f aca="false">COUNTIF(Closed_Deals!$B$2:$B$761,A167)</f>
        <v>4</v>
      </c>
      <c r="F167" s="7" t="n">
        <f aca="false">COUNTIFS(Closed_Deals!$B$2:$B$761,A167,Closed_Deals!$N$2:$N$761,"Won")</f>
        <v>2</v>
      </c>
      <c r="G167" s="7" t="n">
        <f aca="false">E167-F167</f>
        <v>2</v>
      </c>
      <c r="H167" s="11" t="n">
        <f aca="false">IFERROR(F167/E167,"")</f>
        <v>0.5</v>
      </c>
      <c r="I167" s="10" t="n">
        <f aca="false">SUMIFS(Closed_Deals!$M$2:$M$761,Closed_Deals!$B$2:$B$761,A167,Closed_Deals!$N$2:$N$761,"Won")</f>
        <v>233174.87</v>
      </c>
      <c r="J167" s="10" t="n">
        <f aca="false">IFERROR(I167/F167,"")</f>
        <v>116587.435</v>
      </c>
      <c r="K167" s="8" t="n">
        <f aca="false">IF(F167=0,"",_xlfn.MINIFS(Closed_Deals!$R$2:$R$761,Closed_Deals!$B$2:$B$761,A167,Closed_Deals!$N$2:$N$761,"Won"))</f>
        <v>45476</v>
      </c>
      <c r="L167" s="8" t="n">
        <f aca="false">IF(F167=0,"",_xlfn.MAXIFS(Closed_Deals!$R$2:$R$761,Closed_Deals!$B$2:$B$761,A167,Closed_Deals!$N$2:$N$761,"Won"))</f>
        <v>45859</v>
      </c>
      <c r="M167" s="7" t="n">
        <f aca="false">COUNTIF(Open_Pipeline!$B$2:$B$151,A167)</f>
        <v>1</v>
      </c>
      <c r="N167" s="10" t="n">
        <f aca="false">SUMIF(Open_Pipeline!$B$2:$B$151,A167,Open_Pipeline!$M$2:$M$151)</f>
        <v>59483.28</v>
      </c>
      <c r="O167" s="7" t="n">
        <f aca="true">IF(F167=0,"",TODAY()-L167)</f>
        <v>415</v>
      </c>
      <c r="P167" s="7" t="str">
        <f aca="false">IF(F167&gt;=2,"Yes","No")</f>
        <v>Yes</v>
      </c>
      <c r="Q167" s="7" t="str">
        <f aca="false">IF(F167=0,"No Won Business",IF(M167&gt;0,"Active - In Pipeline",IF(O167&lt;=365,"Active",IF(O167&lt;=545,"At Risk","Churned"))))</f>
        <v>Active - In Pipeline</v>
      </c>
    </row>
    <row r="168" customFormat="false" ht="15" hidden="false" customHeight="false" outlineLevel="0" collapsed="false">
      <c r="A168" s="7" t="s">
        <v>623</v>
      </c>
      <c r="B168" s="7" t="s">
        <v>624</v>
      </c>
      <c r="C168" s="7" t="s">
        <v>93</v>
      </c>
      <c r="D168" s="7" t="s">
        <v>115</v>
      </c>
      <c r="E168" s="7" t="n">
        <f aca="false">COUNTIF(Closed_Deals!$B$2:$B$761,A168)</f>
        <v>5</v>
      </c>
      <c r="F168" s="7" t="n">
        <f aca="false">COUNTIFS(Closed_Deals!$B$2:$B$761,A168,Closed_Deals!$N$2:$N$761,"Won")</f>
        <v>1</v>
      </c>
      <c r="G168" s="7" t="n">
        <f aca="false">E168-F168</f>
        <v>4</v>
      </c>
      <c r="H168" s="11" t="n">
        <f aca="false">IFERROR(F168/E168,"")</f>
        <v>0.2</v>
      </c>
      <c r="I168" s="10" t="n">
        <f aca="false">SUMIFS(Closed_Deals!$M$2:$M$761,Closed_Deals!$B$2:$B$761,A168,Closed_Deals!$N$2:$N$761,"Won")</f>
        <v>133773.69</v>
      </c>
      <c r="J168" s="10" t="n">
        <f aca="false">IFERROR(I168/F168,"")</f>
        <v>133773.69</v>
      </c>
      <c r="K168" s="8" t="n">
        <f aca="false">IF(F168=0,"",_xlfn.MINIFS(Closed_Deals!$R$2:$R$761,Closed_Deals!$B$2:$B$761,A168,Closed_Deals!$N$2:$N$761,"Won"))</f>
        <v>45684</v>
      </c>
      <c r="L168" s="8" t="n">
        <f aca="false">IF(F168=0,"",_xlfn.MAXIFS(Closed_Deals!$R$2:$R$761,Closed_Deals!$B$2:$B$761,A168,Closed_Deals!$N$2:$N$761,"Won"))</f>
        <v>45684</v>
      </c>
      <c r="M168" s="7" t="n">
        <f aca="false">COUNTIF(Open_Pipeline!$B$2:$B$151,A168)</f>
        <v>1</v>
      </c>
      <c r="N168" s="10" t="n">
        <f aca="false">SUMIF(Open_Pipeline!$B$2:$B$151,A168,Open_Pipeline!$M$2:$M$151)</f>
        <v>98334.43</v>
      </c>
      <c r="O168" s="7" t="n">
        <f aca="true">IF(F168=0,"",TODAY()-L168)</f>
        <v>590</v>
      </c>
      <c r="P168" s="7" t="str">
        <f aca="false">IF(F168&gt;=2,"Yes","No")</f>
        <v>No</v>
      </c>
      <c r="Q168" s="7" t="str">
        <f aca="false">IF(F168=0,"No Won Business",IF(M168&gt;0,"Active - In Pipeline",IF(O168&lt;=365,"Active",IF(O168&lt;=545,"At Risk","Churned"))))</f>
        <v>Active - In Pipeline</v>
      </c>
    </row>
    <row r="169" customFormat="false" ht="15" hidden="false" customHeight="false" outlineLevel="0" collapsed="false">
      <c r="A169" s="7" t="s">
        <v>1056</v>
      </c>
      <c r="B169" s="7" t="s">
        <v>1057</v>
      </c>
      <c r="C169" s="7" t="s">
        <v>195</v>
      </c>
      <c r="D169" s="7" t="s">
        <v>105</v>
      </c>
      <c r="E169" s="7" t="n">
        <f aca="false">COUNTIF(Closed_Deals!$B$2:$B$761,A169)</f>
        <v>1</v>
      </c>
      <c r="F169" s="7" t="n">
        <f aca="false">COUNTIFS(Closed_Deals!$B$2:$B$761,A169,Closed_Deals!$N$2:$N$761,"Won")</f>
        <v>0</v>
      </c>
      <c r="G169" s="7" t="n">
        <f aca="false">E169-F169</f>
        <v>1</v>
      </c>
      <c r="H169" s="11" t="n">
        <f aca="false">IFERROR(F169/E169,"")</f>
        <v>0</v>
      </c>
      <c r="I169" s="10" t="n">
        <f aca="false">SUMIFS(Closed_Deals!$M$2:$M$761,Closed_Deals!$B$2:$B$761,A169,Closed_Deals!$N$2:$N$761,"Won")</f>
        <v>0</v>
      </c>
      <c r="J169" s="10" t="str">
        <f aca="false">IFERROR(I169/F169,"")</f>
        <v/>
      </c>
      <c r="K169" s="8" t="str">
        <f aca="false">IF(F169=0,"",_xlfn.MINIFS(Closed_Deals!$R$2:$R$761,Closed_Deals!$B$2:$B$761,A169,Closed_Deals!$N$2:$N$761,"Won"))</f>
        <v/>
      </c>
      <c r="L169" s="8" t="str">
        <f aca="false">IF(F169=0,"",_xlfn.MAXIFS(Closed_Deals!$R$2:$R$761,Closed_Deals!$B$2:$B$761,A169,Closed_Deals!$N$2:$N$761,"Won"))</f>
        <v/>
      </c>
      <c r="M169" s="7" t="n">
        <f aca="false">COUNTIF(Open_Pipeline!$B$2:$B$151,A169)</f>
        <v>1</v>
      </c>
      <c r="N169" s="10" t="n">
        <f aca="false">SUMIF(Open_Pipeline!$B$2:$B$151,A169,Open_Pipeline!$M$2:$M$151)</f>
        <v>66108.15</v>
      </c>
      <c r="O169" s="7" t="str">
        <f aca="true">IF(F169=0,"",TODAY()-L169)</f>
        <v/>
      </c>
      <c r="P169" s="7" t="str">
        <f aca="false">IF(F169&gt;=2,"Yes","No")</f>
        <v>No</v>
      </c>
      <c r="Q169" s="7" t="str">
        <f aca="false">IF(F169=0,"No Won Business",IF(M169&gt;0,"Active - In Pipeline",IF(O169&lt;=365,"Active",IF(O169&lt;=545,"At Risk","Churned"))))</f>
        <v>No Won Business</v>
      </c>
    </row>
    <row r="170" customFormat="false" ht="15" hidden="false" customHeight="false" outlineLevel="0" collapsed="false">
      <c r="A170" s="7" t="s">
        <v>276</v>
      </c>
      <c r="B170" s="7" t="s">
        <v>277</v>
      </c>
      <c r="C170" s="7" t="s">
        <v>114</v>
      </c>
      <c r="D170" s="7" t="s">
        <v>162</v>
      </c>
      <c r="E170" s="7" t="n">
        <f aca="false">COUNTIF(Closed_Deals!$B$2:$B$761,A170)</f>
        <v>6</v>
      </c>
      <c r="F170" s="7" t="n">
        <f aca="false">COUNTIFS(Closed_Deals!$B$2:$B$761,A170,Closed_Deals!$N$2:$N$761,"Won")</f>
        <v>3</v>
      </c>
      <c r="G170" s="7" t="n">
        <f aca="false">E170-F170</f>
        <v>3</v>
      </c>
      <c r="H170" s="11" t="n">
        <f aca="false">IFERROR(F170/E170,"")</f>
        <v>0.5</v>
      </c>
      <c r="I170" s="10" t="n">
        <f aca="false">SUMIFS(Closed_Deals!$M$2:$M$761,Closed_Deals!$B$2:$B$761,A170,Closed_Deals!$N$2:$N$761,"Won")</f>
        <v>281955.63</v>
      </c>
      <c r="J170" s="10" t="n">
        <f aca="false">IFERROR(I170/F170,"")</f>
        <v>93985.21</v>
      </c>
      <c r="K170" s="8" t="n">
        <f aca="false">IF(F170=0,"",_xlfn.MINIFS(Closed_Deals!$R$2:$R$761,Closed_Deals!$B$2:$B$761,A170,Closed_Deals!$N$2:$N$761,"Won"))</f>
        <v>46000</v>
      </c>
      <c r="L170" s="8" t="n">
        <f aca="false">IF(F170=0,"",_xlfn.MAXIFS(Closed_Deals!$R$2:$R$761,Closed_Deals!$B$2:$B$761,A170,Closed_Deals!$N$2:$N$761,"Won"))</f>
        <v>46240</v>
      </c>
      <c r="M170" s="7" t="n">
        <f aca="false">COUNTIF(Open_Pipeline!$B$2:$B$151,A170)</f>
        <v>2</v>
      </c>
      <c r="N170" s="10" t="n">
        <f aca="false">SUMIF(Open_Pipeline!$B$2:$B$151,A170,Open_Pipeline!$M$2:$M$151)</f>
        <v>233598.68</v>
      </c>
      <c r="O170" s="7" t="n">
        <f aca="true">IF(F170=0,"",TODAY()-L170)</f>
        <v>34</v>
      </c>
      <c r="P170" s="7" t="str">
        <f aca="false">IF(F170&gt;=2,"Yes","No")</f>
        <v>Yes</v>
      </c>
      <c r="Q170" s="7" t="str">
        <f aca="false">IF(F170=0,"No Won Business",IF(M170&gt;0,"Active - In Pipeline",IF(O170&lt;=365,"Active",IF(O170&lt;=545,"At Risk","Churned"))))</f>
        <v>Active - In Pipeline</v>
      </c>
    </row>
    <row r="171" customFormat="false" ht="15" hidden="false" customHeight="false" outlineLevel="0" collapsed="false">
      <c r="A171" s="7" t="s">
        <v>1572</v>
      </c>
      <c r="B171" s="7" t="s">
        <v>1573</v>
      </c>
      <c r="C171" s="7" t="s">
        <v>114</v>
      </c>
      <c r="D171" s="7" t="s">
        <v>105</v>
      </c>
      <c r="E171" s="7" t="n">
        <f aca="false">COUNTIF(Closed_Deals!$B$2:$B$761,A171)</f>
        <v>0</v>
      </c>
      <c r="F171" s="7" t="n">
        <f aca="false">COUNTIFS(Closed_Deals!$B$2:$B$761,A171,Closed_Deals!$N$2:$N$761,"Won")</f>
        <v>0</v>
      </c>
      <c r="G171" s="7" t="n">
        <f aca="false">E171-F171</f>
        <v>0</v>
      </c>
      <c r="H171" s="11" t="str">
        <f aca="false">IFERROR(F171/E171,"")</f>
        <v/>
      </c>
      <c r="I171" s="10" t="n">
        <f aca="false">SUMIFS(Closed_Deals!$M$2:$M$761,Closed_Deals!$B$2:$B$761,A171,Closed_Deals!$N$2:$N$761,"Won")</f>
        <v>0</v>
      </c>
      <c r="J171" s="10" t="str">
        <f aca="false">IFERROR(I171/F171,"")</f>
        <v/>
      </c>
      <c r="K171" s="8" t="str">
        <f aca="false">IF(F171=0,"",_xlfn.MINIFS(Closed_Deals!$R$2:$R$761,Closed_Deals!$B$2:$B$761,A171,Closed_Deals!$N$2:$N$761,"Won"))</f>
        <v/>
      </c>
      <c r="L171" s="8" t="str">
        <f aca="false">IF(F171=0,"",_xlfn.MAXIFS(Closed_Deals!$R$2:$R$761,Closed_Deals!$B$2:$B$761,A171,Closed_Deals!$N$2:$N$761,"Won"))</f>
        <v/>
      </c>
      <c r="M171" s="7" t="n">
        <f aca="false">COUNTIF(Open_Pipeline!$B$2:$B$151,A171)</f>
        <v>0</v>
      </c>
      <c r="N171" s="10" t="n">
        <f aca="false">SUMIF(Open_Pipeline!$B$2:$B$151,A171,Open_Pipeline!$M$2:$M$151)</f>
        <v>0</v>
      </c>
      <c r="O171" s="7" t="str">
        <f aca="true">IF(F171=0,"",TODAY()-L171)</f>
        <v/>
      </c>
      <c r="P171" s="7" t="str">
        <f aca="false">IF(F171&gt;=2,"Yes","No")</f>
        <v>No</v>
      </c>
      <c r="Q171" s="7" t="str">
        <f aca="false">IF(F171=0,"No Won Business",IF(M171&gt;0,"Active - In Pipeline",IF(O171&lt;=365,"Active",IF(O171&lt;=545,"At Risk","Churned"))))</f>
        <v>No Won Business</v>
      </c>
    </row>
    <row r="172" customFormat="false" ht="15" hidden="false" customHeight="false" outlineLevel="0" collapsed="false">
      <c r="A172" s="7" t="s">
        <v>912</v>
      </c>
      <c r="B172" s="7" t="s">
        <v>913</v>
      </c>
      <c r="C172" s="7" t="s">
        <v>151</v>
      </c>
      <c r="D172" s="7" t="s">
        <v>94</v>
      </c>
      <c r="E172" s="7" t="n">
        <f aca="false">COUNTIF(Closed_Deals!$B$2:$B$761,A172)</f>
        <v>2</v>
      </c>
      <c r="F172" s="7" t="n">
        <f aca="false">COUNTIFS(Closed_Deals!$B$2:$B$761,A172,Closed_Deals!$N$2:$N$761,"Won")</f>
        <v>1</v>
      </c>
      <c r="G172" s="7" t="n">
        <f aca="false">E172-F172</f>
        <v>1</v>
      </c>
      <c r="H172" s="11" t="n">
        <f aca="false">IFERROR(F172/E172,"")</f>
        <v>0.5</v>
      </c>
      <c r="I172" s="10" t="n">
        <f aca="false">SUMIFS(Closed_Deals!$M$2:$M$761,Closed_Deals!$B$2:$B$761,A172,Closed_Deals!$N$2:$N$761,"Won")</f>
        <v>150286.12</v>
      </c>
      <c r="J172" s="10" t="n">
        <f aca="false">IFERROR(I172/F172,"")</f>
        <v>150286.12</v>
      </c>
      <c r="K172" s="8" t="n">
        <f aca="false">IF(F172=0,"",_xlfn.MINIFS(Closed_Deals!$R$2:$R$761,Closed_Deals!$B$2:$B$761,A172,Closed_Deals!$N$2:$N$761,"Won"))</f>
        <v>46076</v>
      </c>
      <c r="L172" s="8" t="n">
        <f aca="false">IF(F172=0,"",_xlfn.MAXIFS(Closed_Deals!$R$2:$R$761,Closed_Deals!$B$2:$B$761,A172,Closed_Deals!$N$2:$N$761,"Won"))</f>
        <v>46076</v>
      </c>
      <c r="M172" s="7" t="n">
        <f aca="false">COUNTIF(Open_Pipeline!$B$2:$B$151,A172)</f>
        <v>2</v>
      </c>
      <c r="N172" s="10" t="n">
        <f aca="false">SUMIF(Open_Pipeline!$B$2:$B$151,A172,Open_Pipeline!$M$2:$M$151)</f>
        <v>162979.76</v>
      </c>
      <c r="O172" s="7" t="n">
        <f aca="true">IF(F172=0,"",TODAY()-L172)</f>
        <v>198</v>
      </c>
      <c r="P172" s="7" t="str">
        <f aca="false">IF(F172&gt;=2,"Yes","No")</f>
        <v>No</v>
      </c>
      <c r="Q172" s="7" t="str">
        <f aca="false">IF(F172=0,"No Won Business",IF(M172&gt;0,"Active - In Pipeline",IF(O172&lt;=365,"Active",IF(O172&lt;=545,"At Risk","Churned"))))</f>
        <v>Active - In Pipeline</v>
      </c>
    </row>
    <row r="173" customFormat="false" ht="15" hidden="false" customHeight="false" outlineLevel="0" collapsed="false">
      <c r="A173" s="7" t="s">
        <v>388</v>
      </c>
      <c r="B173" s="7" t="s">
        <v>389</v>
      </c>
      <c r="C173" s="7" t="s">
        <v>201</v>
      </c>
      <c r="D173" s="7" t="s">
        <v>94</v>
      </c>
      <c r="E173" s="7" t="n">
        <f aca="false">COUNTIF(Closed_Deals!$B$2:$B$761,A173)</f>
        <v>8</v>
      </c>
      <c r="F173" s="7" t="n">
        <f aca="false">COUNTIFS(Closed_Deals!$B$2:$B$761,A173,Closed_Deals!$N$2:$N$761,"Won")</f>
        <v>3</v>
      </c>
      <c r="G173" s="7" t="n">
        <f aca="false">E173-F173</f>
        <v>5</v>
      </c>
      <c r="H173" s="11" t="n">
        <f aca="false">IFERROR(F173/E173,"")</f>
        <v>0.375</v>
      </c>
      <c r="I173" s="10" t="n">
        <f aca="false">SUMIFS(Closed_Deals!$M$2:$M$761,Closed_Deals!$B$2:$B$761,A173,Closed_Deals!$N$2:$N$761,"Won")</f>
        <v>161058.62</v>
      </c>
      <c r="J173" s="10" t="n">
        <f aca="false">IFERROR(I173/F173,"")</f>
        <v>53686.2066666667</v>
      </c>
      <c r="K173" s="8" t="n">
        <f aca="false">IF(F173=0,"",_xlfn.MINIFS(Closed_Deals!$R$2:$R$761,Closed_Deals!$B$2:$B$761,A173,Closed_Deals!$N$2:$N$761,"Won"))</f>
        <v>46009</v>
      </c>
      <c r="L173" s="8" t="n">
        <f aca="false">IF(F173=0,"",_xlfn.MAXIFS(Closed_Deals!$R$2:$R$761,Closed_Deals!$B$2:$B$761,A173,Closed_Deals!$N$2:$N$761,"Won"))</f>
        <v>46312</v>
      </c>
      <c r="M173" s="7" t="n">
        <f aca="false">COUNTIF(Open_Pipeline!$B$2:$B$151,A173)</f>
        <v>3</v>
      </c>
      <c r="N173" s="10" t="n">
        <f aca="false">SUMIF(Open_Pipeline!$B$2:$B$151,A173,Open_Pipeline!$M$2:$M$151)</f>
        <v>391986.38</v>
      </c>
      <c r="O173" s="7" t="n">
        <f aca="true">IF(F173=0,"",TODAY()-L173)</f>
        <v>-38</v>
      </c>
      <c r="P173" s="7" t="str">
        <f aca="false">IF(F173&gt;=2,"Yes","No")</f>
        <v>Yes</v>
      </c>
      <c r="Q173" s="7" t="str">
        <f aca="false">IF(F173=0,"No Won Business",IF(M173&gt;0,"Active - In Pipeline",IF(O173&lt;=365,"Active",IF(O173&lt;=545,"At Risk","Churned"))))</f>
        <v>Active - In Pipeline</v>
      </c>
    </row>
    <row r="174" customFormat="false" ht="15" hidden="false" customHeight="false" outlineLevel="0" collapsed="false">
      <c r="A174" s="7" t="s">
        <v>330</v>
      </c>
      <c r="B174" s="7" t="s">
        <v>331</v>
      </c>
      <c r="C174" s="7" t="s">
        <v>242</v>
      </c>
      <c r="D174" s="7" t="s">
        <v>162</v>
      </c>
      <c r="E174" s="7" t="n">
        <f aca="false">COUNTIF(Closed_Deals!$B$2:$B$761,A174)</f>
        <v>8</v>
      </c>
      <c r="F174" s="7" t="n">
        <f aca="false">COUNTIFS(Closed_Deals!$B$2:$B$761,A174,Closed_Deals!$N$2:$N$761,"Won")</f>
        <v>1</v>
      </c>
      <c r="G174" s="7" t="n">
        <f aca="false">E174-F174</f>
        <v>7</v>
      </c>
      <c r="H174" s="11" t="n">
        <f aca="false">IFERROR(F174/E174,"")</f>
        <v>0.125</v>
      </c>
      <c r="I174" s="10" t="n">
        <f aca="false">SUMIFS(Closed_Deals!$M$2:$M$761,Closed_Deals!$B$2:$B$761,A174,Closed_Deals!$N$2:$N$761,"Won")</f>
        <v>65265.54</v>
      </c>
      <c r="J174" s="10" t="n">
        <f aca="false">IFERROR(I174/F174,"")</f>
        <v>65265.54</v>
      </c>
      <c r="K174" s="8" t="n">
        <f aca="false">IF(F174=0,"",_xlfn.MINIFS(Closed_Deals!$R$2:$R$761,Closed_Deals!$B$2:$B$761,A174,Closed_Deals!$N$2:$N$761,"Won"))</f>
        <v>46061</v>
      </c>
      <c r="L174" s="8" t="n">
        <f aca="false">IF(F174=0,"",_xlfn.MAXIFS(Closed_Deals!$R$2:$R$761,Closed_Deals!$B$2:$B$761,A174,Closed_Deals!$N$2:$N$761,"Won"))</f>
        <v>46061</v>
      </c>
      <c r="M174" s="7" t="n">
        <f aca="false">COUNTIF(Open_Pipeline!$B$2:$B$151,A174)</f>
        <v>1</v>
      </c>
      <c r="N174" s="10" t="n">
        <f aca="false">SUMIF(Open_Pipeline!$B$2:$B$151,A174,Open_Pipeline!$M$2:$M$151)</f>
        <v>36773.91</v>
      </c>
      <c r="O174" s="7" t="n">
        <f aca="true">IF(F174=0,"",TODAY()-L174)</f>
        <v>213</v>
      </c>
      <c r="P174" s="7" t="str">
        <f aca="false">IF(F174&gt;=2,"Yes","No")</f>
        <v>No</v>
      </c>
      <c r="Q174" s="7" t="str">
        <f aca="false">IF(F174=0,"No Won Business",IF(M174&gt;0,"Active - In Pipeline",IF(O174&lt;=365,"Active",IF(O174&lt;=545,"At Risk","Churned"))))</f>
        <v>Active - In Pipeline</v>
      </c>
    </row>
    <row r="175" customFormat="false" ht="15" hidden="false" customHeight="false" outlineLevel="0" collapsed="false">
      <c r="A175" s="7" t="s">
        <v>112</v>
      </c>
      <c r="B175" s="7" t="s">
        <v>113</v>
      </c>
      <c r="C175" s="7" t="s">
        <v>114</v>
      </c>
      <c r="D175" s="7" t="s">
        <v>115</v>
      </c>
      <c r="E175" s="7" t="n">
        <f aca="false">COUNTIF(Closed_Deals!$B$2:$B$761,A175)</f>
        <v>2</v>
      </c>
      <c r="F175" s="7" t="n">
        <f aca="false">COUNTIFS(Closed_Deals!$B$2:$B$761,A175,Closed_Deals!$N$2:$N$761,"Won")</f>
        <v>1</v>
      </c>
      <c r="G175" s="7" t="n">
        <f aca="false">E175-F175</f>
        <v>1</v>
      </c>
      <c r="H175" s="11" t="n">
        <f aca="false">IFERROR(F175/E175,"")</f>
        <v>0.5</v>
      </c>
      <c r="I175" s="10" t="n">
        <f aca="false">SUMIFS(Closed_Deals!$M$2:$M$761,Closed_Deals!$B$2:$B$761,A175,Closed_Deals!$N$2:$N$761,"Won")</f>
        <v>30366.12</v>
      </c>
      <c r="J175" s="10" t="n">
        <f aca="false">IFERROR(I175/F175,"")</f>
        <v>30366.12</v>
      </c>
      <c r="K175" s="8" t="n">
        <f aca="false">IF(F175=0,"",_xlfn.MINIFS(Closed_Deals!$R$2:$R$761,Closed_Deals!$B$2:$B$761,A175,Closed_Deals!$N$2:$N$761,"Won"))</f>
        <v>46343</v>
      </c>
      <c r="L175" s="8" t="n">
        <f aca="false">IF(F175=0,"",_xlfn.MAXIFS(Closed_Deals!$R$2:$R$761,Closed_Deals!$B$2:$B$761,A175,Closed_Deals!$N$2:$N$761,"Won"))</f>
        <v>46343</v>
      </c>
      <c r="M175" s="7" t="n">
        <f aca="false">COUNTIF(Open_Pipeline!$B$2:$B$151,A175)</f>
        <v>0</v>
      </c>
      <c r="N175" s="10" t="n">
        <f aca="false">SUMIF(Open_Pipeline!$B$2:$B$151,A175,Open_Pipeline!$M$2:$M$151)</f>
        <v>0</v>
      </c>
      <c r="O175" s="7" t="n">
        <f aca="true">IF(F175=0,"",TODAY()-L175)</f>
        <v>-69</v>
      </c>
      <c r="P175" s="7" t="str">
        <f aca="false">IF(F175&gt;=2,"Yes","No")</f>
        <v>No</v>
      </c>
      <c r="Q175" s="7" t="str">
        <f aca="false">IF(F175=0,"No Won Business",IF(M175&gt;0,"Active - In Pipeline",IF(O175&lt;=365,"Active",IF(O175&lt;=545,"At Risk","Churned"))))</f>
        <v>Active</v>
      </c>
    </row>
    <row r="176" customFormat="false" ht="15" hidden="false" customHeight="false" outlineLevel="0" collapsed="false">
      <c r="A176" s="7" t="s">
        <v>724</v>
      </c>
      <c r="B176" s="7" t="s">
        <v>725</v>
      </c>
      <c r="C176" s="7" t="s">
        <v>195</v>
      </c>
      <c r="D176" s="7" t="s">
        <v>115</v>
      </c>
      <c r="E176" s="7" t="n">
        <f aca="false">COUNTIF(Closed_Deals!$B$2:$B$761,A176)</f>
        <v>10</v>
      </c>
      <c r="F176" s="7" t="n">
        <f aca="false">COUNTIFS(Closed_Deals!$B$2:$B$761,A176,Closed_Deals!$N$2:$N$761,"Won")</f>
        <v>2</v>
      </c>
      <c r="G176" s="7" t="n">
        <f aca="false">E176-F176</f>
        <v>8</v>
      </c>
      <c r="H176" s="11" t="n">
        <f aca="false">IFERROR(F176/E176,"")</f>
        <v>0.2</v>
      </c>
      <c r="I176" s="10" t="n">
        <f aca="false">SUMIFS(Closed_Deals!$M$2:$M$761,Closed_Deals!$B$2:$B$761,A176,Closed_Deals!$N$2:$N$761,"Won")</f>
        <v>116974.04</v>
      </c>
      <c r="J176" s="10" t="n">
        <f aca="false">IFERROR(I176/F176,"")</f>
        <v>58487.02</v>
      </c>
      <c r="K176" s="8" t="n">
        <f aca="false">IF(F176=0,"",_xlfn.MINIFS(Closed_Deals!$R$2:$R$761,Closed_Deals!$B$2:$B$761,A176,Closed_Deals!$N$2:$N$761,"Won"))</f>
        <v>45998</v>
      </c>
      <c r="L176" s="8" t="n">
        <f aca="false">IF(F176=0,"",_xlfn.MAXIFS(Closed_Deals!$R$2:$R$761,Closed_Deals!$B$2:$B$761,A176,Closed_Deals!$N$2:$N$761,"Won"))</f>
        <v>46033</v>
      </c>
      <c r="M176" s="7" t="n">
        <f aca="false">COUNTIF(Open_Pipeline!$B$2:$B$151,A176)</f>
        <v>2</v>
      </c>
      <c r="N176" s="10" t="n">
        <f aca="false">SUMIF(Open_Pipeline!$B$2:$B$151,A176,Open_Pipeline!$M$2:$M$151)</f>
        <v>192263.53</v>
      </c>
      <c r="O176" s="7" t="n">
        <f aca="true">IF(F176=0,"",TODAY()-L176)</f>
        <v>241</v>
      </c>
      <c r="P176" s="7" t="str">
        <f aca="false">IF(F176&gt;=2,"Yes","No")</f>
        <v>Yes</v>
      </c>
      <c r="Q176" s="7" t="str">
        <f aca="false">IF(F176=0,"No Won Business",IF(M176&gt;0,"Active - In Pipeline",IF(O176&lt;=365,"Active",IF(O176&lt;=545,"At Risk","Churned"))))</f>
        <v>Active - In Pipeline</v>
      </c>
    </row>
    <row r="177" customFormat="false" ht="15" hidden="false" customHeight="false" outlineLevel="0" collapsed="false">
      <c r="A177" s="7" t="s">
        <v>217</v>
      </c>
      <c r="B177" s="7" t="s">
        <v>218</v>
      </c>
      <c r="C177" s="7" t="s">
        <v>104</v>
      </c>
      <c r="D177" s="7" t="s">
        <v>105</v>
      </c>
      <c r="E177" s="7" t="n">
        <f aca="false">COUNTIF(Closed_Deals!$B$2:$B$761,A177)</f>
        <v>4</v>
      </c>
      <c r="F177" s="7" t="n">
        <f aca="false">COUNTIFS(Closed_Deals!$B$2:$B$761,A177,Closed_Deals!$N$2:$N$761,"Won")</f>
        <v>2</v>
      </c>
      <c r="G177" s="7" t="n">
        <f aca="false">E177-F177</f>
        <v>2</v>
      </c>
      <c r="H177" s="11" t="n">
        <f aca="false">IFERROR(F177/E177,"")</f>
        <v>0.5</v>
      </c>
      <c r="I177" s="10" t="n">
        <f aca="false">SUMIFS(Closed_Deals!$M$2:$M$761,Closed_Deals!$B$2:$B$761,A177,Closed_Deals!$N$2:$N$761,"Won")</f>
        <v>183949.95</v>
      </c>
      <c r="J177" s="10" t="n">
        <f aca="false">IFERROR(I177/F177,"")</f>
        <v>91974.975</v>
      </c>
      <c r="K177" s="8" t="n">
        <f aca="false">IF(F177=0,"",_xlfn.MINIFS(Closed_Deals!$R$2:$R$761,Closed_Deals!$B$2:$B$761,A177,Closed_Deals!$N$2:$N$761,"Won"))</f>
        <v>45691</v>
      </c>
      <c r="L177" s="8" t="n">
        <f aca="false">IF(F177=0,"",_xlfn.MAXIFS(Closed_Deals!$R$2:$R$761,Closed_Deals!$B$2:$B$761,A177,Closed_Deals!$N$2:$N$761,"Won"))</f>
        <v>46335</v>
      </c>
      <c r="M177" s="7" t="n">
        <f aca="false">COUNTIF(Open_Pipeline!$B$2:$B$151,A177)</f>
        <v>0</v>
      </c>
      <c r="N177" s="10" t="n">
        <f aca="false">SUMIF(Open_Pipeline!$B$2:$B$151,A177,Open_Pipeline!$M$2:$M$151)</f>
        <v>0</v>
      </c>
      <c r="O177" s="7" t="n">
        <f aca="true">IF(F177=0,"",TODAY()-L177)</f>
        <v>-61</v>
      </c>
      <c r="P177" s="7" t="str">
        <f aca="false">IF(F177&gt;=2,"Yes","No")</f>
        <v>Yes</v>
      </c>
      <c r="Q177" s="7" t="str">
        <f aca="false">IF(F177=0,"No Won Business",IF(M177&gt;0,"Active - In Pipeline",IF(O177&lt;=365,"Active",IF(O177&lt;=545,"At Risk","Churned"))))</f>
        <v>Active</v>
      </c>
    </row>
    <row r="178" customFormat="false" ht="15" hidden="false" customHeight="false" outlineLevel="0" collapsed="false">
      <c r="A178" s="7" t="s">
        <v>440</v>
      </c>
      <c r="B178" s="7" t="s">
        <v>441</v>
      </c>
      <c r="C178" s="7" t="s">
        <v>114</v>
      </c>
      <c r="D178" s="7" t="s">
        <v>94</v>
      </c>
      <c r="E178" s="7" t="n">
        <f aca="false">COUNTIF(Closed_Deals!$B$2:$B$761,A178)</f>
        <v>2</v>
      </c>
      <c r="F178" s="7" t="n">
        <f aca="false">COUNTIFS(Closed_Deals!$B$2:$B$761,A178,Closed_Deals!$N$2:$N$761,"Won")</f>
        <v>0</v>
      </c>
      <c r="G178" s="7" t="n">
        <f aca="false">E178-F178</f>
        <v>2</v>
      </c>
      <c r="H178" s="11" t="n">
        <f aca="false">IFERROR(F178/E178,"")</f>
        <v>0</v>
      </c>
      <c r="I178" s="10" t="n">
        <f aca="false">SUMIFS(Closed_Deals!$M$2:$M$761,Closed_Deals!$B$2:$B$761,A178,Closed_Deals!$N$2:$N$761,"Won")</f>
        <v>0</v>
      </c>
      <c r="J178" s="10" t="str">
        <f aca="false">IFERROR(I178/F178,"")</f>
        <v/>
      </c>
      <c r="K178" s="8" t="str">
        <f aca="false">IF(F178=0,"",_xlfn.MINIFS(Closed_Deals!$R$2:$R$761,Closed_Deals!$B$2:$B$761,A178,Closed_Deals!$N$2:$N$761,"Won"))</f>
        <v/>
      </c>
      <c r="L178" s="8" t="str">
        <f aca="false">IF(F178=0,"",_xlfn.MAXIFS(Closed_Deals!$R$2:$R$761,Closed_Deals!$B$2:$B$761,A178,Closed_Deals!$N$2:$N$761,"Won"))</f>
        <v/>
      </c>
      <c r="M178" s="7" t="n">
        <f aca="false">COUNTIF(Open_Pipeline!$B$2:$B$151,A178)</f>
        <v>0</v>
      </c>
      <c r="N178" s="10" t="n">
        <f aca="false">SUMIF(Open_Pipeline!$B$2:$B$151,A178,Open_Pipeline!$M$2:$M$151)</f>
        <v>0</v>
      </c>
      <c r="O178" s="7" t="str">
        <f aca="true">IF(F178=0,"",TODAY()-L178)</f>
        <v/>
      </c>
      <c r="P178" s="7" t="str">
        <f aca="false">IF(F178&gt;=2,"Yes","No")</f>
        <v>No</v>
      </c>
      <c r="Q178" s="7" t="str">
        <f aca="false">IF(F178=0,"No Won Business",IF(M178&gt;0,"Active - In Pipeline",IF(O178&lt;=365,"Active",IF(O178&lt;=545,"At Risk","Churned"))))</f>
        <v>No Won Business</v>
      </c>
    </row>
    <row r="179" customFormat="false" ht="15" hidden="false" customHeight="false" outlineLevel="0" collapsed="false">
      <c r="A179" s="7" t="s">
        <v>1574</v>
      </c>
      <c r="B179" s="7" t="s">
        <v>1575</v>
      </c>
      <c r="C179" s="7" t="s">
        <v>93</v>
      </c>
      <c r="D179" s="7" t="s">
        <v>162</v>
      </c>
      <c r="E179" s="7" t="n">
        <f aca="false">COUNTIF(Closed_Deals!$B$2:$B$761,A179)</f>
        <v>0</v>
      </c>
      <c r="F179" s="7" t="n">
        <f aca="false">COUNTIFS(Closed_Deals!$B$2:$B$761,A179,Closed_Deals!$N$2:$N$761,"Won")</f>
        <v>0</v>
      </c>
      <c r="G179" s="7" t="n">
        <f aca="false">E179-F179</f>
        <v>0</v>
      </c>
      <c r="H179" s="11" t="str">
        <f aca="false">IFERROR(F179/E179,"")</f>
        <v/>
      </c>
      <c r="I179" s="10" t="n">
        <f aca="false">SUMIFS(Closed_Deals!$M$2:$M$761,Closed_Deals!$B$2:$B$761,A179,Closed_Deals!$N$2:$N$761,"Won")</f>
        <v>0</v>
      </c>
      <c r="J179" s="10" t="str">
        <f aca="false">IFERROR(I179/F179,"")</f>
        <v/>
      </c>
      <c r="K179" s="8" t="str">
        <f aca="false">IF(F179=0,"",_xlfn.MINIFS(Closed_Deals!$R$2:$R$761,Closed_Deals!$B$2:$B$761,A179,Closed_Deals!$N$2:$N$761,"Won"))</f>
        <v/>
      </c>
      <c r="L179" s="8" t="str">
        <f aca="false">IF(F179=0,"",_xlfn.MAXIFS(Closed_Deals!$R$2:$R$761,Closed_Deals!$B$2:$B$761,A179,Closed_Deals!$N$2:$N$761,"Won"))</f>
        <v/>
      </c>
      <c r="M179" s="7" t="n">
        <f aca="false">COUNTIF(Open_Pipeline!$B$2:$B$151,A179)</f>
        <v>0</v>
      </c>
      <c r="N179" s="10" t="n">
        <f aca="false">SUMIF(Open_Pipeline!$B$2:$B$151,A179,Open_Pipeline!$M$2:$M$151)</f>
        <v>0</v>
      </c>
      <c r="O179" s="7" t="str">
        <f aca="true">IF(F179=0,"",TODAY()-L179)</f>
        <v/>
      </c>
      <c r="P179" s="7" t="str">
        <f aca="false">IF(F179&gt;=2,"Yes","No")</f>
        <v>No</v>
      </c>
      <c r="Q179" s="7" t="str">
        <f aca="false">IF(F179=0,"No Won Business",IF(M179&gt;0,"Active - In Pipeline",IF(O179&lt;=365,"Active",IF(O179&lt;=545,"At Risk","Churned"))))</f>
        <v>No Won Business</v>
      </c>
    </row>
    <row r="180" customFormat="false" ht="15" hidden="false" customHeight="false" outlineLevel="0" collapsed="false">
      <c r="A180" s="7" t="s">
        <v>1026</v>
      </c>
      <c r="B180" s="7" t="s">
        <v>1027</v>
      </c>
      <c r="C180" s="7" t="s">
        <v>93</v>
      </c>
      <c r="D180" s="7" t="s">
        <v>162</v>
      </c>
      <c r="E180" s="7" t="n">
        <f aca="false">COUNTIF(Closed_Deals!$B$2:$B$761,A180)</f>
        <v>1</v>
      </c>
      <c r="F180" s="7" t="n">
        <f aca="false">COUNTIFS(Closed_Deals!$B$2:$B$761,A180,Closed_Deals!$N$2:$N$761,"Won")</f>
        <v>1</v>
      </c>
      <c r="G180" s="7" t="n">
        <f aca="false">E180-F180</f>
        <v>0</v>
      </c>
      <c r="H180" s="11" t="n">
        <f aca="false">IFERROR(F180/E180,"")</f>
        <v>1</v>
      </c>
      <c r="I180" s="10" t="n">
        <f aca="false">SUMIFS(Closed_Deals!$M$2:$M$761,Closed_Deals!$B$2:$B$761,A180,Closed_Deals!$N$2:$N$761,"Won")</f>
        <v>157451.54</v>
      </c>
      <c r="J180" s="10" t="n">
        <f aca="false">IFERROR(I180/F180,"")</f>
        <v>157451.54</v>
      </c>
      <c r="K180" s="8" t="n">
        <f aca="false">IF(F180=0,"",_xlfn.MINIFS(Closed_Deals!$R$2:$R$761,Closed_Deals!$B$2:$B$761,A180,Closed_Deals!$N$2:$N$761,"Won"))</f>
        <v>46187</v>
      </c>
      <c r="L180" s="8" t="n">
        <f aca="false">IF(F180=0,"",_xlfn.MAXIFS(Closed_Deals!$R$2:$R$761,Closed_Deals!$B$2:$B$761,A180,Closed_Deals!$N$2:$N$761,"Won"))</f>
        <v>46187</v>
      </c>
      <c r="M180" s="7" t="n">
        <f aca="false">COUNTIF(Open_Pipeline!$B$2:$B$151,A180)</f>
        <v>1</v>
      </c>
      <c r="N180" s="10" t="n">
        <f aca="false">SUMIF(Open_Pipeline!$B$2:$B$151,A180,Open_Pipeline!$M$2:$M$151)</f>
        <v>64475.65</v>
      </c>
      <c r="O180" s="7" t="n">
        <f aca="true">IF(F180=0,"",TODAY()-L180)</f>
        <v>87</v>
      </c>
      <c r="P180" s="7" t="str">
        <f aca="false">IF(F180&gt;=2,"Yes","No")</f>
        <v>No</v>
      </c>
      <c r="Q180" s="7" t="str">
        <f aca="false">IF(F180=0,"No Won Business",IF(M180&gt;0,"Active - In Pipeline",IF(O180&lt;=365,"Active",IF(O180&lt;=545,"At Risk","Churned"))))</f>
        <v>Active - In Pipeline</v>
      </c>
    </row>
    <row r="181" customFormat="false" ht="15" hidden="false" customHeight="false" outlineLevel="0" collapsed="false">
      <c r="A181" s="7" t="s">
        <v>400</v>
      </c>
      <c r="B181" s="7" t="s">
        <v>401</v>
      </c>
      <c r="C181" s="7" t="s">
        <v>135</v>
      </c>
      <c r="D181" s="7" t="s">
        <v>162</v>
      </c>
      <c r="E181" s="7" t="n">
        <f aca="false">COUNTIF(Closed_Deals!$B$2:$B$761,A181)</f>
        <v>4</v>
      </c>
      <c r="F181" s="7" t="n">
        <f aca="false">COUNTIFS(Closed_Deals!$B$2:$B$761,A181,Closed_Deals!$N$2:$N$761,"Won")</f>
        <v>0</v>
      </c>
      <c r="G181" s="7" t="n">
        <f aca="false">E181-F181</f>
        <v>4</v>
      </c>
      <c r="H181" s="11" t="n">
        <f aca="false">IFERROR(F181/E181,"")</f>
        <v>0</v>
      </c>
      <c r="I181" s="10" t="n">
        <f aca="false">SUMIFS(Closed_Deals!$M$2:$M$761,Closed_Deals!$B$2:$B$761,A181,Closed_Deals!$N$2:$N$761,"Won")</f>
        <v>0</v>
      </c>
      <c r="J181" s="10" t="str">
        <f aca="false">IFERROR(I181/F181,"")</f>
        <v/>
      </c>
      <c r="K181" s="8" t="str">
        <f aca="false">IF(F181=0,"",_xlfn.MINIFS(Closed_Deals!$R$2:$R$761,Closed_Deals!$B$2:$B$761,A181,Closed_Deals!$N$2:$N$761,"Won"))</f>
        <v/>
      </c>
      <c r="L181" s="8" t="str">
        <f aca="false">IF(F181=0,"",_xlfn.MAXIFS(Closed_Deals!$R$2:$R$761,Closed_Deals!$B$2:$B$761,A181,Closed_Deals!$N$2:$N$761,"Won"))</f>
        <v/>
      </c>
      <c r="M181" s="7" t="n">
        <f aca="false">COUNTIF(Open_Pipeline!$B$2:$B$151,A181)</f>
        <v>0</v>
      </c>
      <c r="N181" s="10" t="n">
        <f aca="false">SUMIF(Open_Pipeline!$B$2:$B$151,A181,Open_Pipeline!$M$2:$M$151)</f>
        <v>0</v>
      </c>
      <c r="O181" s="7" t="str">
        <f aca="true">IF(F181=0,"",TODAY()-L181)</f>
        <v/>
      </c>
      <c r="P181" s="7" t="str">
        <f aca="false">IF(F181&gt;=2,"Yes","No")</f>
        <v>No</v>
      </c>
      <c r="Q181" s="7" t="str">
        <f aca="false">IF(F181=0,"No Won Business",IF(M181&gt;0,"Active - In Pipeline",IF(O181&lt;=365,"Active",IF(O181&lt;=545,"At Risk","Churned"))))</f>
        <v>No Won Business</v>
      </c>
    </row>
    <row r="182" customFormat="false" ht="15" hidden="false" customHeight="false" outlineLevel="0" collapsed="false">
      <c r="A182" s="7" t="s">
        <v>337</v>
      </c>
      <c r="B182" s="7" t="s">
        <v>338</v>
      </c>
      <c r="C182" s="7" t="s">
        <v>201</v>
      </c>
      <c r="D182" s="7" t="s">
        <v>94</v>
      </c>
      <c r="E182" s="7" t="n">
        <f aca="false">COUNTIF(Closed_Deals!$B$2:$B$761,A182)</f>
        <v>9</v>
      </c>
      <c r="F182" s="7" t="n">
        <f aca="false">COUNTIFS(Closed_Deals!$B$2:$B$761,A182,Closed_Deals!$N$2:$N$761,"Won")</f>
        <v>2</v>
      </c>
      <c r="G182" s="7" t="n">
        <f aca="false">E182-F182</f>
        <v>7</v>
      </c>
      <c r="H182" s="11" t="n">
        <f aca="false">IFERROR(F182/E182,"")</f>
        <v>0.222222222222222</v>
      </c>
      <c r="I182" s="10" t="n">
        <f aca="false">SUMIFS(Closed_Deals!$M$2:$M$761,Closed_Deals!$B$2:$B$761,A182,Closed_Deals!$N$2:$N$761,"Won")</f>
        <v>568090.5</v>
      </c>
      <c r="J182" s="10" t="n">
        <f aca="false">IFERROR(I182/F182,"")</f>
        <v>284045.25</v>
      </c>
      <c r="K182" s="8" t="n">
        <f aca="false">IF(F182=0,"",_xlfn.MINIFS(Closed_Deals!$R$2:$R$761,Closed_Deals!$B$2:$B$761,A182,Closed_Deals!$N$2:$N$761,"Won"))</f>
        <v>45651</v>
      </c>
      <c r="L182" s="8" t="n">
        <f aca="false">IF(F182=0,"",_xlfn.MAXIFS(Closed_Deals!$R$2:$R$761,Closed_Deals!$B$2:$B$761,A182,Closed_Deals!$N$2:$N$761,"Won"))</f>
        <v>45820</v>
      </c>
      <c r="M182" s="7" t="n">
        <f aca="false">COUNTIF(Open_Pipeline!$B$2:$B$151,A182)</f>
        <v>0</v>
      </c>
      <c r="N182" s="10" t="n">
        <f aca="false">SUMIF(Open_Pipeline!$B$2:$B$151,A182,Open_Pipeline!$M$2:$M$151)</f>
        <v>0</v>
      </c>
      <c r="O182" s="7" t="n">
        <f aca="true">IF(F182=0,"",TODAY()-L182)</f>
        <v>454</v>
      </c>
      <c r="P182" s="7" t="str">
        <f aca="false">IF(F182&gt;=2,"Yes","No")</f>
        <v>Yes</v>
      </c>
      <c r="Q182" s="7" t="str">
        <f aca="false">IF(F182=0,"No Won Business",IF(M182&gt;0,"Active - In Pipeline",IF(O182&lt;=365,"Active",IF(O182&lt;=545,"At Risk","Churned"))))</f>
        <v>At Risk</v>
      </c>
    </row>
    <row r="183" customFormat="false" ht="15" hidden="false" customHeight="false" outlineLevel="0" collapsed="false">
      <c r="A183" s="7" t="s">
        <v>950</v>
      </c>
      <c r="B183" s="7" t="s">
        <v>951</v>
      </c>
      <c r="C183" s="7" t="s">
        <v>114</v>
      </c>
      <c r="D183" s="7" t="s">
        <v>94</v>
      </c>
      <c r="E183" s="7" t="n">
        <f aca="false">COUNTIF(Closed_Deals!$B$2:$B$761,A183)</f>
        <v>1</v>
      </c>
      <c r="F183" s="7" t="n">
        <f aca="false">COUNTIFS(Closed_Deals!$B$2:$B$761,A183,Closed_Deals!$N$2:$N$761,"Won")</f>
        <v>0</v>
      </c>
      <c r="G183" s="7" t="n">
        <f aca="false">E183-F183</f>
        <v>1</v>
      </c>
      <c r="H183" s="11" t="n">
        <f aca="false">IFERROR(F183/E183,"")</f>
        <v>0</v>
      </c>
      <c r="I183" s="10" t="n">
        <f aca="false">SUMIFS(Closed_Deals!$M$2:$M$761,Closed_Deals!$B$2:$B$761,A183,Closed_Deals!$N$2:$N$761,"Won")</f>
        <v>0</v>
      </c>
      <c r="J183" s="10" t="str">
        <f aca="false">IFERROR(I183/F183,"")</f>
        <v/>
      </c>
      <c r="K183" s="8" t="str">
        <f aca="false">IF(F183=0,"",_xlfn.MINIFS(Closed_Deals!$R$2:$R$761,Closed_Deals!$B$2:$B$761,A183,Closed_Deals!$N$2:$N$761,"Won"))</f>
        <v/>
      </c>
      <c r="L183" s="8" t="str">
        <f aca="false">IF(F183=0,"",_xlfn.MAXIFS(Closed_Deals!$R$2:$R$761,Closed_Deals!$B$2:$B$761,A183,Closed_Deals!$N$2:$N$761,"Won"))</f>
        <v/>
      </c>
      <c r="M183" s="7" t="n">
        <f aca="false">COUNTIF(Open_Pipeline!$B$2:$B$151,A183)</f>
        <v>1</v>
      </c>
      <c r="N183" s="10" t="n">
        <f aca="false">SUMIF(Open_Pipeline!$B$2:$B$151,A183,Open_Pipeline!$M$2:$M$151)</f>
        <v>139763.86</v>
      </c>
      <c r="O183" s="7" t="str">
        <f aca="true">IF(F183=0,"",TODAY()-L183)</f>
        <v/>
      </c>
      <c r="P183" s="7" t="str">
        <f aca="false">IF(F183&gt;=2,"Yes","No")</f>
        <v>No</v>
      </c>
      <c r="Q183" s="7" t="str">
        <f aca="false">IF(F183=0,"No Won Business",IF(M183&gt;0,"Active - In Pipeline",IF(O183&lt;=365,"Active",IF(O183&lt;=545,"At Risk","Churned"))))</f>
        <v>No Won Business</v>
      </c>
    </row>
    <row r="184" customFormat="false" ht="15" hidden="false" customHeight="false" outlineLevel="0" collapsed="false">
      <c r="A184" s="7" t="s">
        <v>366</v>
      </c>
      <c r="B184" s="7" t="s">
        <v>367</v>
      </c>
      <c r="C184" s="7" t="s">
        <v>114</v>
      </c>
      <c r="D184" s="7" t="s">
        <v>162</v>
      </c>
      <c r="E184" s="7" t="n">
        <f aca="false">COUNTIF(Closed_Deals!$B$2:$B$761,A184)</f>
        <v>3</v>
      </c>
      <c r="F184" s="7" t="n">
        <f aca="false">COUNTIFS(Closed_Deals!$B$2:$B$761,A184,Closed_Deals!$N$2:$N$761,"Won")</f>
        <v>2</v>
      </c>
      <c r="G184" s="7" t="n">
        <f aca="false">E184-F184</f>
        <v>1</v>
      </c>
      <c r="H184" s="11" t="n">
        <f aca="false">IFERROR(F184/E184,"")</f>
        <v>0.666666666666667</v>
      </c>
      <c r="I184" s="10" t="n">
        <f aca="false">SUMIFS(Closed_Deals!$M$2:$M$761,Closed_Deals!$B$2:$B$761,A184,Closed_Deals!$N$2:$N$761,"Won")</f>
        <v>248412.57</v>
      </c>
      <c r="J184" s="10" t="n">
        <f aca="false">IFERROR(I184/F184,"")</f>
        <v>124206.285</v>
      </c>
      <c r="K184" s="8" t="n">
        <f aca="false">IF(F184=0,"",_xlfn.MINIFS(Closed_Deals!$R$2:$R$761,Closed_Deals!$B$2:$B$761,A184,Closed_Deals!$N$2:$N$761,"Won"))</f>
        <v>45906</v>
      </c>
      <c r="L184" s="8" t="n">
        <f aca="false">IF(F184=0,"",_xlfn.MAXIFS(Closed_Deals!$R$2:$R$761,Closed_Deals!$B$2:$B$761,A184,Closed_Deals!$N$2:$N$761,"Won"))</f>
        <v>46012</v>
      </c>
      <c r="M184" s="7" t="n">
        <f aca="false">COUNTIF(Open_Pipeline!$B$2:$B$151,A184)</f>
        <v>0</v>
      </c>
      <c r="N184" s="10" t="n">
        <f aca="false">SUMIF(Open_Pipeline!$B$2:$B$151,A184,Open_Pipeline!$M$2:$M$151)</f>
        <v>0</v>
      </c>
      <c r="O184" s="7" t="n">
        <f aca="true">IF(F184=0,"",TODAY()-L184)</f>
        <v>262</v>
      </c>
      <c r="P184" s="7" t="str">
        <f aca="false">IF(F184&gt;=2,"Yes","No")</f>
        <v>Yes</v>
      </c>
      <c r="Q184" s="7" t="str">
        <f aca="false">IF(F184=0,"No Won Business",IF(M184&gt;0,"Active - In Pipeline",IF(O184&lt;=365,"Active",IF(O184&lt;=545,"At Risk","Churned"))))</f>
        <v>Active</v>
      </c>
    </row>
    <row r="185" customFormat="false" ht="15" hidden="false" customHeight="false" outlineLevel="0" collapsed="false">
      <c r="A185" s="7" t="s">
        <v>629</v>
      </c>
      <c r="B185" s="7" t="s">
        <v>630</v>
      </c>
      <c r="C185" s="7" t="s">
        <v>151</v>
      </c>
      <c r="D185" s="7" t="s">
        <v>162</v>
      </c>
      <c r="E185" s="7" t="n">
        <f aca="false">COUNTIF(Closed_Deals!$B$2:$B$761,A185)</f>
        <v>2</v>
      </c>
      <c r="F185" s="7" t="n">
        <f aca="false">COUNTIFS(Closed_Deals!$B$2:$B$761,A185,Closed_Deals!$N$2:$N$761,"Won")</f>
        <v>1</v>
      </c>
      <c r="G185" s="7" t="n">
        <f aca="false">E185-F185</f>
        <v>1</v>
      </c>
      <c r="H185" s="11" t="n">
        <f aca="false">IFERROR(F185/E185,"")</f>
        <v>0.5</v>
      </c>
      <c r="I185" s="10" t="n">
        <f aca="false">SUMIFS(Closed_Deals!$M$2:$M$761,Closed_Deals!$B$2:$B$761,A185,Closed_Deals!$N$2:$N$761,"Won")</f>
        <v>77322.83</v>
      </c>
      <c r="J185" s="10" t="n">
        <f aca="false">IFERROR(I185/F185,"")</f>
        <v>77322.83</v>
      </c>
      <c r="K185" s="8" t="n">
        <f aca="false">IF(F185=0,"",_xlfn.MINIFS(Closed_Deals!$R$2:$R$761,Closed_Deals!$B$2:$B$761,A185,Closed_Deals!$N$2:$N$761,"Won"))</f>
        <v>45806</v>
      </c>
      <c r="L185" s="8" t="n">
        <f aca="false">IF(F185=0,"",_xlfn.MAXIFS(Closed_Deals!$R$2:$R$761,Closed_Deals!$B$2:$B$761,A185,Closed_Deals!$N$2:$N$761,"Won"))</f>
        <v>45806</v>
      </c>
      <c r="M185" s="7" t="n">
        <f aca="false">COUNTIF(Open_Pipeline!$B$2:$B$151,A185)</f>
        <v>0</v>
      </c>
      <c r="N185" s="10" t="n">
        <f aca="false">SUMIF(Open_Pipeline!$B$2:$B$151,A185,Open_Pipeline!$M$2:$M$151)</f>
        <v>0</v>
      </c>
      <c r="O185" s="7" t="n">
        <f aca="true">IF(F185=0,"",TODAY()-L185)</f>
        <v>468</v>
      </c>
      <c r="P185" s="7" t="str">
        <f aca="false">IF(F185&gt;=2,"Yes","No")</f>
        <v>No</v>
      </c>
      <c r="Q185" s="7" t="str">
        <f aca="false">IF(F185=0,"No Won Business",IF(M185&gt;0,"Active - In Pipeline",IF(O185&lt;=365,"Active",IF(O185&lt;=545,"At Risk","Churned"))))</f>
        <v>At Risk</v>
      </c>
    </row>
    <row r="186" customFormat="false" ht="15" hidden="false" customHeight="false" outlineLevel="0" collapsed="false">
      <c r="A186" s="7" t="s">
        <v>418</v>
      </c>
      <c r="B186" s="7" t="s">
        <v>419</v>
      </c>
      <c r="C186" s="7" t="s">
        <v>93</v>
      </c>
      <c r="D186" s="7" t="s">
        <v>115</v>
      </c>
      <c r="E186" s="7" t="n">
        <f aca="false">COUNTIF(Closed_Deals!$B$2:$B$761,A186)</f>
        <v>6</v>
      </c>
      <c r="F186" s="7" t="n">
        <f aca="false">COUNTIFS(Closed_Deals!$B$2:$B$761,A186,Closed_Deals!$N$2:$N$761,"Won")</f>
        <v>3</v>
      </c>
      <c r="G186" s="7" t="n">
        <f aca="false">E186-F186</f>
        <v>3</v>
      </c>
      <c r="H186" s="11" t="n">
        <f aca="false">IFERROR(F186/E186,"")</f>
        <v>0.5</v>
      </c>
      <c r="I186" s="10" t="n">
        <f aca="false">SUMIFS(Closed_Deals!$M$2:$M$761,Closed_Deals!$B$2:$B$761,A186,Closed_Deals!$N$2:$N$761,"Won")</f>
        <v>244047.23</v>
      </c>
      <c r="J186" s="10" t="n">
        <f aca="false">IFERROR(I186/F186,"")</f>
        <v>81349.0766666667</v>
      </c>
      <c r="K186" s="8" t="n">
        <f aca="false">IF(F186=0,"",_xlfn.MINIFS(Closed_Deals!$R$2:$R$761,Closed_Deals!$B$2:$B$761,A186,Closed_Deals!$N$2:$N$761,"Won"))</f>
        <v>45583</v>
      </c>
      <c r="L186" s="8" t="n">
        <f aca="false">IF(F186=0,"",_xlfn.MAXIFS(Closed_Deals!$R$2:$R$761,Closed_Deals!$B$2:$B$761,A186,Closed_Deals!$N$2:$N$761,"Won"))</f>
        <v>46238</v>
      </c>
      <c r="M186" s="7" t="n">
        <f aca="false">COUNTIF(Open_Pipeline!$B$2:$B$151,A186)</f>
        <v>0</v>
      </c>
      <c r="N186" s="10" t="n">
        <f aca="false">SUMIF(Open_Pipeline!$B$2:$B$151,A186,Open_Pipeline!$M$2:$M$151)</f>
        <v>0</v>
      </c>
      <c r="O186" s="7" t="n">
        <f aca="true">IF(F186=0,"",TODAY()-L186)</f>
        <v>36</v>
      </c>
      <c r="P186" s="7" t="str">
        <f aca="false">IF(F186&gt;=2,"Yes","No")</f>
        <v>Yes</v>
      </c>
      <c r="Q186" s="7" t="str">
        <f aca="false">IF(F186=0,"No Won Business",IF(M186&gt;0,"Active - In Pipeline",IF(O186&lt;=365,"Active",IF(O186&lt;=545,"At Risk","Churned"))))</f>
        <v>Active</v>
      </c>
    </row>
    <row r="187" customFormat="false" ht="15" hidden="false" customHeight="false" outlineLevel="0" collapsed="false">
      <c r="A187" s="7" t="s">
        <v>1576</v>
      </c>
      <c r="B187" s="7" t="s">
        <v>1577</v>
      </c>
      <c r="C187" s="7" t="s">
        <v>195</v>
      </c>
      <c r="D187" s="7" t="s">
        <v>105</v>
      </c>
      <c r="E187" s="7" t="n">
        <f aca="false">COUNTIF(Closed_Deals!$B$2:$B$761,A187)</f>
        <v>0</v>
      </c>
      <c r="F187" s="7" t="n">
        <f aca="false">COUNTIFS(Closed_Deals!$B$2:$B$761,A187,Closed_Deals!$N$2:$N$761,"Won")</f>
        <v>0</v>
      </c>
      <c r="G187" s="7" t="n">
        <f aca="false">E187-F187</f>
        <v>0</v>
      </c>
      <c r="H187" s="11" t="str">
        <f aca="false">IFERROR(F187/E187,"")</f>
        <v/>
      </c>
      <c r="I187" s="10" t="n">
        <f aca="false">SUMIFS(Closed_Deals!$M$2:$M$761,Closed_Deals!$B$2:$B$761,A187,Closed_Deals!$N$2:$N$761,"Won")</f>
        <v>0</v>
      </c>
      <c r="J187" s="10" t="str">
        <f aca="false">IFERROR(I187/F187,"")</f>
        <v/>
      </c>
      <c r="K187" s="8" t="str">
        <f aca="false">IF(F187=0,"",_xlfn.MINIFS(Closed_Deals!$R$2:$R$761,Closed_Deals!$B$2:$B$761,A187,Closed_Deals!$N$2:$N$761,"Won"))</f>
        <v/>
      </c>
      <c r="L187" s="8" t="str">
        <f aca="false">IF(F187=0,"",_xlfn.MAXIFS(Closed_Deals!$R$2:$R$761,Closed_Deals!$B$2:$B$761,A187,Closed_Deals!$N$2:$N$761,"Won"))</f>
        <v/>
      </c>
      <c r="M187" s="7" t="n">
        <f aca="false">COUNTIF(Open_Pipeline!$B$2:$B$151,A187)</f>
        <v>0</v>
      </c>
      <c r="N187" s="10" t="n">
        <f aca="false">SUMIF(Open_Pipeline!$B$2:$B$151,A187,Open_Pipeline!$M$2:$M$151)</f>
        <v>0</v>
      </c>
      <c r="O187" s="7" t="str">
        <f aca="true">IF(F187=0,"",TODAY()-L187)</f>
        <v/>
      </c>
      <c r="P187" s="7" t="str">
        <f aca="false">IF(F187&gt;=2,"Yes","No")</f>
        <v>No</v>
      </c>
      <c r="Q187" s="7" t="str">
        <f aca="false">IF(F187=0,"No Won Business",IF(M187&gt;0,"Active - In Pipeline",IF(O187&lt;=365,"Active",IF(O187&lt;=545,"At Risk","Churned"))))</f>
        <v>No Won Business</v>
      </c>
    </row>
    <row r="188" customFormat="false" ht="15" hidden="false" customHeight="false" outlineLevel="0" collapsed="false">
      <c r="A188" s="7" t="s">
        <v>164</v>
      </c>
      <c r="B188" s="7" t="s">
        <v>165</v>
      </c>
      <c r="C188" s="7" t="s">
        <v>151</v>
      </c>
      <c r="D188" s="7" t="s">
        <v>94</v>
      </c>
      <c r="E188" s="7" t="n">
        <f aca="false">COUNTIF(Closed_Deals!$B$2:$B$761,A188)</f>
        <v>9</v>
      </c>
      <c r="F188" s="7" t="n">
        <f aca="false">COUNTIFS(Closed_Deals!$B$2:$B$761,A188,Closed_Deals!$N$2:$N$761,"Won")</f>
        <v>4</v>
      </c>
      <c r="G188" s="7" t="n">
        <f aca="false">E188-F188</f>
        <v>5</v>
      </c>
      <c r="H188" s="11" t="n">
        <f aca="false">IFERROR(F188/E188,"")</f>
        <v>0.444444444444444</v>
      </c>
      <c r="I188" s="10" t="n">
        <f aca="false">SUMIFS(Closed_Deals!$M$2:$M$761,Closed_Deals!$B$2:$B$761,A188,Closed_Deals!$N$2:$N$761,"Won")</f>
        <v>689543.03</v>
      </c>
      <c r="J188" s="10" t="n">
        <f aca="false">IFERROR(I188/F188,"")</f>
        <v>172385.7575</v>
      </c>
      <c r="K188" s="8" t="n">
        <f aca="false">IF(F188=0,"",_xlfn.MINIFS(Closed_Deals!$R$2:$R$761,Closed_Deals!$B$2:$B$761,A188,Closed_Deals!$N$2:$N$761,"Won"))</f>
        <v>45358</v>
      </c>
      <c r="L188" s="8" t="n">
        <f aca="false">IF(F188=0,"",_xlfn.MAXIFS(Closed_Deals!$R$2:$R$761,Closed_Deals!$B$2:$B$761,A188,Closed_Deals!$N$2:$N$761,"Won"))</f>
        <v>46248</v>
      </c>
      <c r="M188" s="7" t="n">
        <f aca="false">COUNTIF(Open_Pipeline!$B$2:$B$151,A188)</f>
        <v>1</v>
      </c>
      <c r="N188" s="10" t="n">
        <f aca="false">SUMIF(Open_Pipeline!$B$2:$B$151,A188,Open_Pipeline!$M$2:$M$151)</f>
        <v>131300.82</v>
      </c>
      <c r="O188" s="7" t="n">
        <f aca="true">IF(F188=0,"",TODAY()-L188)</f>
        <v>26</v>
      </c>
      <c r="P188" s="7" t="str">
        <f aca="false">IF(F188&gt;=2,"Yes","No")</f>
        <v>Yes</v>
      </c>
      <c r="Q188" s="7" t="str">
        <f aca="false">IF(F188=0,"No Won Business",IF(M188&gt;0,"Active - In Pipeline",IF(O188&lt;=365,"Active",IF(O188&lt;=545,"At Risk","Churned"))))</f>
        <v>Active - In Pipeline</v>
      </c>
    </row>
    <row r="189" customFormat="false" ht="15" hidden="false" customHeight="false" outlineLevel="0" collapsed="false">
      <c r="A189" s="7" t="s">
        <v>1578</v>
      </c>
      <c r="B189" s="7" t="s">
        <v>1579</v>
      </c>
      <c r="C189" s="7" t="s">
        <v>195</v>
      </c>
      <c r="D189" s="7" t="s">
        <v>94</v>
      </c>
      <c r="E189" s="7" t="n">
        <f aca="false">COUNTIF(Closed_Deals!$B$2:$B$761,A189)</f>
        <v>0</v>
      </c>
      <c r="F189" s="7" t="n">
        <f aca="false">COUNTIFS(Closed_Deals!$B$2:$B$761,A189,Closed_Deals!$N$2:$N$761,"Won")</f>
        <v>0</v>
      </c>
      <c r="G189" s="7" t="n">
        <f aca="false">E189-F189</f>
        <v>0</v>
      </c>
      <c r="H189" s="11" t="str">
        <f aca="false">IFERROR(F189/E189,"")</f>
        <v/>
      </c>
      <c r="I189" s="10" t="n">
        <f aca="false">SUMIFS(Closed_Deals!$M$2:$M$761,Closed_Deals!$B$2:$B$761,A189,Closed_Deals!$N$2:$N$761,"Won")</f>
        <v>0</v>
      </c>
      <c r="J189" s="10" t="str">
        <f aca="false">IFERROR(I189/F189,"")</f>
        <v/>
      </c>
      <c r="K189" s="8" t="str">
        <f aca="false">IF(F189=0,"",_xlfn.MINIFS(Closed_Deals!$R$2:$R$761,Closed_Deals!$B$2:$B$761,A189,Closed_Deals!$N$2:$N$761,"Won"))</f>
        <v/>
      </c>
      <c r="L189" s="8" t="str">
        <f aca="false">IF(F189=0,"",_xlfn.MAXIFS(Closed_Deals!$R$2:$R$761,Closed_Deals!$B$2:$B$761,A189,Closed_Deals!$N$2:$N$761,"Won"))</f>
        <v/>
      </c>
      <c r="M189" s="7" t="n">
        <f aca="false">COUNTIF(Open_Pipeline!$B$2:$B$151,A189)</f>
        <v>0</v>
      </c>
      <c r="N189" s="10" t="n">
        <f aca="false">SUMIF(Open_Pipeline!$B$2:$B$151,A189,Open_Pipeline!$M$2:$M$151)</f>
        <v>0</v>
      </c>
      <c r="O189" s="7" t="str">
        <f aca="true">IF(F189=0,"",TODAY()-L189)</f>
        <v/>
      </c>
      <c r="P189" s="7" t="str">
        <f aca="false">IF(F189&gt;=2,"Yes","No")</f>
        <v>No</v>
      </c>
      <c r="Q189" s="7" t="str">
        <f aca="false">IF(F189=0,"No Won Business",IF(M189&gt;0,"Active - In Pipeline",IF(O189&lt;=365,"Active",IF(O189&lt;=545,"At Risk","Churned"))))</f>
        <v>No Won Business</v>
      </c>
    </row>
    <row r="190" customFormat="false" ht="15" hidden="false" customHeight="false" outlineLevel="0" collapsed="false">
      <c r="A190" s="7" t="s">
        <v>359</v>
      </c>
      <c r="B190" s="7" t="s">
        <v>360</v>
      </c>
      <c r="C190" s="7" t="s">
        <v>114</v>
      </c>
      <c r="D190" s="7" t="s">
        <v>94</v>
      </c>
      <c r="E190" s="7" t="n">
        <f aca="false">COUNTIF(Closed_Deals!$B$2:$B$761,A190)</f>
        <v>8</v>
      </c>
      <c r="F190" s="7" t="n">
        <f aca="false">COUNTIFS(Closed_Deals!$B$2:$B$761,A190,Closed_Deals!$N$2:$N$761,"Won")</f>
        <v>3</v>
      </c>
      <c r="G190" s="7" t="n">
        <f aca="false">E190-F190</f>
        <v>5</v>
      </c>
      <c r="H190" s="11" t="n">
        <f aca="false">IFERROR(F190/E190,"")</f>
        <v>0.375</v>
      </c>
      <c r="I190" s="10" t="n">
        <f aca="false">SUMIFS(Closed_Deals!$M$2:$M$761,Closed_Deals!$B$2:$B$761,A190,Closed_Deals!$N$2:$N$761,"Won")</f>
        <v>257164.56</v>
      </c>
      <c r="J190" s="10" t="n">
        <f aca="false">IFERROR(I190/F190,"")</f>
        <v>85721.52</v>
      </c>
      <c r="K190" s="8" t="n">
        <f aca="false">IF(F190=0,"",_xlfn.MINIFS(Closed_Deals!$R$2:$R$761,Closed_Deals!$B$2:$B$761,A190,Closed_Deals!$N$2:$N$761,"Won"))</f>
        <v>45566</v>
      </c>
      <c r="L190" s="8" t="n">
        <f aca="false">IF(F190=0,"",_xlfn.MAXIFS(Closed_Deals!$R$2:$R$761,Closed_Deals!$B$2:$B$761,A190,Closed_Deals!$N$2:$N$761,"Won"))</f>
        <v>46098</v>
      </c>
      <c r="M190" s="7" t="n">
        <f aca="false">COUNTIF(Open_Pipeline!$B$2:$B$151,A190)</f>
        <v>0</v>
      </c>
      <c r="N190" s="10" t="n">
        <f aca="false">SUMIF(Open_Pipeline!$B$2:$B$151,A190,Open_Pipeline!$M$2:$M$151)</f>
        <v>0</v>
      </c>
      <c r="O190" s="7" t="n">
        <f aca="true">IF(F190=0,"",TODAY()-L190)</f>
        <v>176</v>
      </c>
      <c r="P190" s="7" t="str">
        <f aca="false">IF(F190&gt;=2,"Yes","No")</f>
        <v>Yes</v>
      </c>
      <c r="Q190" s="7" t="str">
        <f aca="false">IF(F190=0,"No Won Business",IF(M190&gt;0,"Active - In Pipeline",IF(O190&lt;=365,"Active",IF(O190&lt;=545,"At Risk","Churned"))))</f>
        <v>Active</v>
      </c>
    </row>
    <row r="191" customFormat="false" ht="15" hidden="false" customHeight="false" outlineLevel="0" collapsed="false">
      <c r="A191" s="7" t="s">
        <v>1580</v>
      </c>
      <c r="B191" s="7" t="s">
        <v>1581</v>
      </c>
      <c r="C191" s="7" t="s">
        <v>151</v>
      </c>
      <c r="D191" s="7" t="s">
        <v>105</v>
      </c>
      <c r="E191" s="7" t="n">
        <f aca="false">COUNTIF(Closed_Deals!$B$2:$B$761,A191)</f>
        <v>0</v>
      </c>
      <c r="F191" s="7" t="n">
        <f aca="false">COUNTIFS(Closed_Deals!$B$2:$B$761,A191,Closed_Deals!$N$2:$N$761,"Won")</f>
        <v>0</v>
      </c>
      <c r="G191" s="7" t="n">
        <f aca="false">E191-F191</f>
        <v>0</v>
      </c>
      <c r="H191" s="11" t="str">
        <f aca="false">IFERROR(F191/E191,"")</f>
        <v/>
      </c>
      <c r="I191" s="10" t="n">
        <f aca="false">SUMIFS(Closed_Deals!$M$2:$M$761,Closed_Deals!$B$2:$B$761,A191,Closed_Deals!$N$2:$N$761,"Won")</f>
        <v>0</v>
      </c>
      <c r="J191" s="10" t="str">
        <f aca="false">IFERROR(I191/F191,"")</f>
        <v/>
      </c>
      <c r="K191" s="8" t="str">
        <f aca="false">IF(F191=0,"",_xlfn.MINIFS(Closed_Deals!$R$2:$R$761,Closed_Deals!$B$2:$B$761,A191,Closed_Deals!$N$2:$N$761,"Won"))</f>
        <v/>
      </c>
      <c r="L191" s="8" t="str">
        <f aca="false">IF(F191=0,"",_xlfn.MAXIFS(Closed_Deals!$R$2:$R$761,Closed_Deals!$B$2:$B$761,A191,Closed_Deals!$N$2:$N$761,"Won"))</f>
        <v/>
      </c>
      <c r="M191" s="7" t="n">
        <f aca="false">COUNTIF(Open_Pipeline!$B$2:$B$151,A191)</f>
        <v>0</v>
      </c>
      <c r="N191" s="10" t="n">
        <f aca="false">SUMIF(Open_Pipeline!$B$2:$B$151,A191,Open_Pipeline!$M$2:$M$151)</f>
        <v>0</v>
      </c>
      <c r="O191" s="7" t="str">
        <f aca="true">IF(F191=0,"",TODAY()-L191)</f>
        <v/>
      </c>
      <c r="P191" s="7" t="str">
        <f aca="false">IF(F191&gt;=2,"Yes","No")</f>
        <v>No</v>
      </c>
      <c r="Q191" s="7" t="str">
        <f aca="false">IF(F191=0,"No Won Business",IF(M191&gt;0,"Active - In Pipeline",IF(O191&lt;=365,"Active",IF(O191&lt;=545,"At Risk","Churned"))))</f>
        <v>No Won Business</v>
      </c>
    </row>
    <row r="192" customFormat="false" ht="15" hidden="false" customHeight="false" outlineLevel="0" collapsed="false">
      <c r="A192" s="7" t="s">
        <v>577</v>
      </c>
      <c r="B192" s="7" t="s">
        <v>578</v>
      </c>
      <c r="C192" s="7" t="s">
        <v>201</v>
      </c>
      <c r="D192" s="7" t="s">
        <v>94</v>
      </c>
      <c r="E192" s="7" t="n">
        <f aca="false">COUNTIF(Closed_Deals!$B$2:$B$761,A192)</f>
        <v>5</v>
      </c>
      <c r="F192" s="7" t="n">
        <f aca="false">COUNTIFS(Closed_Deals!$B$2:$B$761,A192,Closed_Deals!$N$2:$N$761,"Won")</f>
        <v>0</v>
      </c>
      <c r="G192" s="7" t="n">
        <f aca="false">E192-F192</f>
        <v>5</v>
      </c>
      <c r="H192" s="11" t="n">
        <f aca="false">IFERROR(F192/E192,"")</f>
        <v>0</v>
      </c>
      <c r="I192" s="10" t="n">
        <f aca="false">SUMIFS(Closed_Deals!$M$2:$M$761,Closed_Deals!$B$2:$B$761,A192,Closed_Deals!$N$2:$N$761,"Won")</f>
        <v>0</v>
      </c>
      <c r="J192" s="10" t="str">
        <f aca="false">IFERROR(I192/F192,"")</f>
        <v/>
      </c>
      <c r="K192" s="8" t="str">
        <f aca="false">IF(F192=0,"",_xlfn.MINIFS(Closed_Deals!$R$2:$R$761,Closed_Deals!$B$2:$B$761,A192,Closed_Deals!$N$2:$N$761,"Won"))</f>
        <v/>
      </c>
      <c r="L192" s="8" t="str">
        <f aca="false">IF(F192=0,"",_xlfn.MAXIFS(Closed_Deals!$R$2:$R$761,Closed_Deals!$B$2:$B$761,A192,Closed_Deals!$N$2:$N$761,"Won"))</f>
        <v/>
      </c>
      <c r="M192" s="7" t="n">
        <f aca="false">COUNTIF(Open_Pipeline!$B$2:$B$151,A192)</f>
        <v>2</v>
      </c>
      <c r="N192" s="10" t="n">
        <f aca="false">SUMIF(Open_Pipeline!$B$2:$B$151,A192,Open_Pipeline!$M$2:$M$151)</f>
        <v>261388.95</v>
      </c>
      <c r="O192" s="7" t="str">
        <f aca="true">IF(F192=0,"",TODAY()-L192)</f>
        <v/>
      </c>
      <c r="P192" s="7" t="str">
        <f aca="false">IF(F192&gt;=2,"Yes","No")</f>
        <v>No</v>
      </c>
      <c r="Q192" s="7" t="str">
        <f aca="false">IF(F192=0,"No Won Business",IF(M192&gt;0,"Active - In Pipeline",IF(O192&lt;=365,"Active",IF(O192&lt;=545,"At Risk","Churned"))))</f>
        <v>No Won Business</v>
      </c>
    </row>
    <row r="193" customFormat="false" ht="15" hidden="false" customHeight="false" outlineLevel="0" collapsed="false">
      <c r="A193" s="7" t="s">
        <v>1582</v>
      </c>
      <c r="B193" s="7" t="s">
        <v>1583</v>
      </c>
      <c r="C193" s="7" t="s">
        <v>104</v>
      </c>
      <c r="D193" s="7" t="s">
        <v>105</v>
      </c>
      <c r="E193" s="7" t="n">
        <f aca="false">COUNTIF(Closed_Deals!$B$2:$B$761,A193)</f>
        <v>0</v>
      </c>
      <c r="F193" s="7" t="n">
        <f aca="false">COUNTIFS(Closed_Deals!$B$2:$B$761,A193,Closed_Deals!$N$2:$N$761,"Won")</f>
        <v>0</v>
      </c>
      <c r="G193" s="7" t="n">
        <f aca="false">E193-F193</f>
        <v>0</v>
      </c>
      <c r="H193" s="11" t="str">
        <f aca="false">IFERROR(F193/E193,"")</f>
        <v/>
      </c>
      <c r="I193" s="10" t="n">
        <f aca="false">SUMIFS(Closed_Deals!$M$2:$M$761,Closed_Deals!$B$2:$B$761,A193,Closed_Deals!$N$2:$N$761,"Won")</f>
        <v>0</v>
      </c>
      <c r="J193" s="10" t="str">
        <f aca="false">IFERROR(I193/F193,"")</f>
        <v/>
      </c>
      <c r="K193" s="8" t="str">
        <f aca="false">IF(F193=0,"",_xlfn.MINIFS(Closed_Deals!$R$2:$R$761,Closed_Deals!$B$2:$B$761,A193,Closed_Deals!$N$2:$N$761,"Won"))</f>
        <v/>
      </c>
      <c r="L193" s="8" t="str">
        <f aca="false">IF(F193=0,"",_xlfn.MAXIFS(Closed_Deals!$R$2:$R$761,Closed_Deals!$B$2:$B$761,A193,Closed_Deals!$N$2:$N$761,"Won"))</f>
        <v/>
      </c>
      <c r="M193" s="7" t="n">
        <f aca="false">COUNTIF(Open_Pipeline!$B$2:$B$151,A193)</f>
        <v>0</v>
      </c>
      <c r="N193" s="10" t="n">
        <f aca="false">SUMIF(Open_Pipeline!$B$2:$B$151,A193,Open_Pipeline!$M$2:$M$151)</f>
        <v>0</v>
      </c>
      <c r="O193" s="7" t="str">
        <f aca="true">IF(F193=0,"",TODAY()-L193)</f>
        <v/>
      </c>
      <c r="P193" s="7" t="str">
        <f aca="false">IF(F193&gt;=2,"Yes","No")</f>
        <v>No</v>
      </c>
      <c r="Q193" s="7" t="str">
        <f aca="false">IF(F193=0,"No Won Business",IF(M193&gt;0,"Active - In Pipeline",IF(O193&lt;=365,"Active",IF(O193&lt;=545,"At Risk","Churned"))))</f>
        <v>No Won Business</v>
      </c>
    </row>
    <row r="194" customFormat="false" ht="15" hidden="false" customHeight="false" outlineLevel="0" collapsed="false">
      <c r="A194" s="7" t="s">
        <v>1584</v>
      </c>
      <c r="B194" s="7" t="s">
        <v>1585</v>
      </c>
      <c r="C194" s="7" t="s">
        <v>93</v>
      </c>
      <c r="D194" s="7" t="s">
        <v>94</v>
      </c>
      <c r="E194" s="7" t="n">
        <f aca="false">COUNTIF(Closed_Deals!$B$2:$B$761,A194)</f>
        <v>0</v>
      </c>
      <c r="F194" s="7" t="n">
        <f aca="false">COUNTIFS(Closed_Deals!$B$2:$B$761,A194,Closed_Deals!$N$2:$N$761,"Won")</f>
        <v>0</v>
      </c>
      <c r="G194" s="7" t="n">
        <f aca="false">E194-F194</f>
        <v>0</v>
      </c>
      <c r="H194" s="11" t="str">
        <f aca="false">IFERROR(F194/E194,"")</f>
        <v/>
      </c>
      <c r="I194" s="10" t="n">
        <f aca="false">SUMIFS(Closed_Deals!$M$2:$M$761,Closed_Deals!$B$2:$B$761,A194,Closed_Deals!$N$2:$N$761,"Won")</f>
        <v>0</v>
      </c>
      <c r="J194" s="10" t="str">
        <f aca="false">IFERROR(I194/F194,"")</f>
        <v/>
      </c>
      <c r="K194" s="8" t="str">
        <f aca="false">IF(F194=0,"",_xlfn.MINIFS(Closed_Deals!$R$2:$R$761,Closed_Deals!$B$2:$B$761,A194,Closed_Deals!$N$2:$N$761,"Won"))</f>
        <v/>
      </c>
      <c r="L194" s="8" t="str">
        <f aca="false">IF(F194=0,"",_xlfn.MAXIFS(Closed_Deals!$R$2:$R$761,Closed_Deals!$B$2:$B$761,A194,Closed_Deals!$N$2:$N$761,"Won"))</f>
        <v/>
      </c>
      <c r="M194" s="7" t="n">
        <f aca="false">COUNTIF(Open_Pipeline!$B$2:$B$151,A194)</f>
        <v>0</v>
      </c>
      <c r="N194" s="10" t="n">
        <f aca="false">SUMIF(Open_Pipeline!$B$2:$B$151,A194,Open_Pipeline!$M$2:$M$151)</f>
        <v>0</v>
      </c>
      <c r="O194" s="7" t="str">
        <f aca="true">IF(F194=0,"",TODAY()-L194)</f>
        <v/>
      </c>
      <c r="P194" s="7" t="str">
        <f aca="false">IF(F194&gt;=2,"Yes","No")</f>
        <v>No</v>
      </c>
      <c r="Q194" s="7" t="str">
        <f aca="false">IF(F194=0,"No Won Business",IF(M194&gt;0,"Active - In Pipeline",IF(O194&lt;=365,"Active",IF(O194&lt;=545,"At Risk","Churned"))))</f>
        <v>No Won Business</v>
      </c>
    </row>
    <row r="195" customFormat="false" ht="15" hidden="false" customHeight="false" outlineLevel="0" collapsed="false">
      <c r="A195" s="7" t="s">
        <v>687</v>
      </c>
      <c r="B195" s="7" t="s">
        <v>688</v>
      </c>
      <c r="C195" s="7" t="s">
        <v>135</v>
      </c>
      <c r="D195" s="7" t="s">
        <v>115</v>
      </c>
      <c r="E195" s="7" t="n">
        <f aca="false">COUNTIF(Closed_Deals!$B$2:$B$761,A195)</f>
        <v>2</v>
      </c>
      <c r="F195" s="7" t="n">
        <f aca="false">COUNTIFS(Closed_Deals!$B$2:$B$761,A195,Closed_Deals!$N$2:$N$761,"Won")</f>
        <v>0</v>
      </c>
      <c r="G195" s="7" t="n">
        <f aca="false">E195-F195</f>
        <v>2</v>
      </c>
      <c r="H195" s="11" t="n">
        <f aca="false">IFERROR(F195/E195,"")</f>
        <v>0</v>
      </c>
      <c r="I195" s="10" t="n">
        <f aca="false">SUMIFS(Closed_Deals!$M$2:$M$761,Closed_Deals!$B$2:$B$761,A195,Closed_Deals!$N$2:$N$761,"Won")</f>
        <v>0</v>
      </c>
      <c r="J195" s="10" t="str">
        <f aca="false">IFERROR(I195/F195,"")</f>
        <v/>
      </c>
      <c r="K195" s="8" t="str">
        <f aca="false">IF(F195=0,"",_xlfn.MINIFS(Closed_Deals!$R$2:$R$761,Closed_Deals!$B$2:$B$761,A195,Closed_Deals!$N$2:$N$761,"Won"))</f>
        <v/>
      </c>
      <c r="L195" s="8" t="str">
        <f aca="false">IF(F195=0,"",_xlfn.MAXIFS(Closed_Deals!$R$2:$R$761,Closed_Deals!$B$2:$B$761,A195,Closed_Deals!$N$2:$N$761,"Won"))</f>
        <v/>
      </c>
      <c r="M195" s="7" t="n">
        <f aca="false">COUNTIF(Open_Pipeline!$B$2:$B$151,A195)</f>
        <v>1</v>
      </c>
      <c r="N195" s="10" t="n">
        <f aca="false">SUMIF(Open_Pipeline!$B$2:$B$151,A195,Open_Pipeline!$M$2:$M$151)</f>
        <v>52497.57</v>
      </c>
      <c r="O195" s="7" t="str">
        <f aca="true">IF(F195=0,"",TODAY()-L195)</f>
        <v/>
      </c>
      <c r="P195" s="7" t="str">
        <f aca="false">IF(F195&gt;=2,"Yes","No")</f>
        <v>No</v>
      </c>
      <c r="Q195" s="7" t="str">
        <f aca="false">IF(F195=0,"No Won Business",IF(M195&gt;0,"Active - In Pipeline",IF(O195&lt;=365,"Active",IF(O195&lt;=545,"At Risk","Churned"))))</f>
        <v>No Won Business</v>
      </c>
    </row>
    <row r="196" customFormat="false" ht="15" hidden="false" customHeight="false" outlineLevel="0" collapsed="false">
      <c r="A196" s="7" t="s">
        <v>240</v>
      </c>
      <c r="B196" s="7" t="s">
        <v>241</v>
      </c>
      <c r="C196" s="7" t="s">
        <v>242</v>
      </c>
      <c r="D196" s="7" t="s">
        <v>105</v>
      </c>
      <c r="E196" s="7" t="n">
        <f aca="false">COUNTIF(Closed_Deals!$B$2:$B$761,A196)</f>
        <v>5</v>
      </c>
      <c r="F196" s="7" t="n">
        <f aca="false">COUNTIFS(Closed_Deals!$B$2:$B$761,A196,Closed_Deals!$N$2:$N$761,"Won")</f>
        <v>4</v>
      </c>
      <c r="G196" s="7" t="n">
        <f aca="false">E196-F196</f>
        <v>1</v>
      </c>
      <c r="H196" s="11" t="n">
        <f aca="false">IFERROR(F196/E196,"")</f>
        <v>0.8</v>
      </c>
      <c r="I196" s="10" t="n">
        <f aca="false">SUMIFS(Closed_Deals!$M$2:$M$761,Closed_Deals!$B$2:$B$761,A196,Closed_Deals!$N$2:$N$761,"Won")</f>
        <v>410111.73</v>
      </c>
      <c r="J196" s="10" t="n">
        <f aca="false">IFERROR(I196/F196,"")</f>
        <v>102527.9325</v>
      </c>
      <c r="K196" s="8" t="n">
        <f aca="false">IF(F196=0,"",_xlfn.MINIFS(Closed_Deals!$R$2:$R$761,Closed_Deals!$B$2:$B$761,A196,Closed_Deals!$N$2:$N$761,"Won"))</f>
        <v>45490</v>
      </c>
      <c r="L196" s="8" t="n">
        <f aca="false">IF(F196=0,"",_xlfn.MAXIFS(Closed_Deals!$R$2:$R$761,Closed_Deals!$B$2:$B$761,A196,Closed_Deals!$N$2:$N$761,"Won"))</f>
        <v>46064</v>
      </c>
      <c r="M196" s="7" t="n">
        <f aca="false">COUNTIF(Open_Pipeline!$B$2:$B$151,A196)</f>
        <v>1</v>
      </c>
      <c r="N196" s="10" t="n">
        <f aca="false">SUMIF(Open_Pipeline!$B$2:$B$151,A196,Open_Pipeline!$M$2:$M$151)</f>
        <v>289945.7</v>
      </c>
      <c r="O196" s="7" t="n">
        <f aca="true">IF(F196=0,"",TODAY()-L196)</f>
        <v>210</v>
      </c>
      <c r="P196" s="7" t="str">
        <f aca="false">IF(F196&gt;=2,"Yes","No")</f>
        <v>Yes</v>
      </c>
      <c r="Q196" s="7" t="str">
        <f aca="false">IF(F196=0,"No Won Business",IF(M196&gt;0,"Active - In Pipeline",IF(O196&lt;=365,"Active",IF(O196&lt;=545,"At Risk","Churned"))))</f>
        <v>Active - In Pipeline</v>
      </c>
    </row>
    <row r="197" customFormat="false" ht="15" hidden="false" customHeight="false" outlineLevel="0" collapsed="false">
      <c r="A197" s="7" t="s">
        <v>1358</v>
      </c>
      <c r="B197" s="7" t="s">
        <v>1359</v>
      </c>
      <c r="C197" s="7" t="s">
        <v>135</v>
      </c>
      <c r="D197" s="7" t="s">
        <v>94</v>
      </c>
      <c r="E197" s="7" t="n">
        <f aca="false">COUNTIF(Closed_Deals!$B$2:$B$761,A197)</f>
        <v>0</v>
      </c>
      <c r="F197" s="7" t="n">
        <f aca="false">COUNTIFS(Closed_Deals!$B$2:$B$761,A197,Closed_Deals!$N$2:$N$761,"Won")</f>
        <v>0</v>
      </c>
      <c r="G197" s="7" t="n">
        <f aca="false">E197-F197</f>
        <v>0</v>
      </c>
      <c r="H197" s="11" t="str">
        <f aca="false">IFERROR(F197/E197,"")</f>
        <v/>
      </c>
      <c r="I197" s="10" t="n">
        <f aca="false">SUMIFS(Closed_Deals!$M$2:$M$761,Closed_Deals!$B$2:$B$761,A197,Closed_Deals!$N$2:$N$761,"Won")</f>
        <v>0</v>
      </c>
      <c r="J197" s="10" t="str">
        <f aca="false">IFERROR(I197/F197,"")</f>
        <v/>
      </c>
      <c r="K197" s="8" t="str">
        <f aca="false">IF(F197=0,"",_xlfn.MINIFS(Closed_Deals!$R$2:$R$761,Closed_Deals!$B$2:$B$761,A197,Closed_Deals!$N$2:$N$761,"Won"))</f>
        <v/>
      </c>
      <c r="L197" s="8" t="str">
        <f aca="false">IF(F197=0,"",_xlfn.MAXIFS(Closed_Deals!$R$2:$R$761,Closed_Deals!$B$2:$B$761,A197,Closed_Deals!$N$2:$N$761,"Won"))</f>
        <v/>
      </c>
      <c r="M197" s="7" t="n">
        <f aca="false">COUNTIF(Open_Pipeline!$B$2:$B$151,A197)</f>
        <v>3</v>
      </c>
      <c r="N197" s="10" t="n">
        <f aca="false">SUMIF(Open_Pipeline!$B$2:$B$151,A197,Open_Pipeline!$M$2:$M$151)</f>
        <v>200396.31</v>
      </c>
      <c r="O197" s="7" t="str">
        <f aca="true">IF(F197=0,"",TODAY()-L197)</f>
        <v/>
      </c>
      <c r="P197" s="7" t="str">
        <f aca="false">IF(F197&gt;=2,"Yes","No")</f>
        <v>No</v>
      </c>
      <c r="Q197" s="7" t="str">
        <f aca="false">IF(F197=0,"No Won Business",IF(M197&gt;0,"Active - In Pipeline",IF(O197&lt;=365,"Active",IF(O197&lt;=545,"At Risk","Churned"))))</f>
        <v>No Won Business</v>
      </c>
    </row>
    <row r="198" customFormat="false" ht="15" hidden="false" customHeight="false" outlineLevel="0" collapsed="false">
      <c r="A198" s="7" t="s">
        <v>193</v>
      </c>
      <c r="B198" s="7" t="s">
        <v>194</v>
      </c>
      <c r="C198" s="7" t="s">
        <v>195</v>
      </c>
      <c r="D198" s="7" t="s">
        <v>115</v>
      </c>
      <c r="E198" s="7" t="n">
        <f aca="false">COUNTIF(Closed_Deals!$B$2:$B$761,A198)</f>
        <v>6</v>
      </c>
      <c r="F198" s="7" t="n">
        <f aca="false">COUNTIFS(Closed_Deals!$B$2:$B$761,A198,Closed_Deals!$N$2:$N$761,"Won")</f>
        <v>3</v>
      </c>
      <c r="G198" s="7" t="n">
        <f aca="false">E198-F198</f>
        <v>3</v>
      </c>
      <c r="H198" s="11" t="n">
        <f aca="false">IFERROR(F198/E198,"")</f>
        <v>0.5</v>
      </c>
      <c r="I198" s="10" t="n">
        <f aca="false">SUMIFS(Closed_Deals!$M$2:$M$761,Closed_Deals!$B$2:$B$761,A198,Closed_Deals!$N$2:$N$761,"Won")</f>
        <v>287890.87</v>
      </c>
      <c r="J198" s="10" t="n">
        <f aca="false">IFERROR(I198/F198,"")</f>
        <v>95963.6233333333</v>
      </c>
      <c r="K198" s="8" t="n">
        <f aca="false">IF(F198=0,"",_xlfn.MINIFS(Closed_Deals!$R$2:$R$761,Closed_Deals!$B$2:$B$761,A198,Closed_Deals!$N$2:$N$761,"Won"))</f>
        <v>45388</v>
      </c>
      <c r="L198" s="8" t="n">
        <f aca="false">IF(F198=0,"",_xlfn.MAXIFS(Closed_Deals!$R$2:$R$761,Closed_Deals!$B$2:$B$761,A198,Closed_Deals!$N$2:$N$761,"Won"))</f>
        <v>46167</v>
      </c>
      <c r="M198" s="7" t="n">
        <f aca="false">COUNTIF(Open_Pipeline!$B$2:$B$151,A198)</f>
        <v>3</v>
      </c>
      <c r="N198" s="10" t="n">
        <f aca="false">SUMIF(Open_Pipeline!$B$2:$B$151,A198,Open_Pipeline!$M$2:$M$151)</f>
        <v>281035.85</v>
      </c>
      <c r="O198" s="7" t="n">
        <f aca="true">IF(F198=0,"",TODAY()-L198)</f>
        <v>107</v>
      </c>
      <c r="P198" s="7" t="str">
        <f aca="false">IF(F198&gt;=2,"Yes","No")</f>
        <v>Yes</v>
      </c>
      <c r="Q198" s="7" t="str">
        <f aca="false">IF(F198=0,"No Won Business",IF(M198&gt;0,"Active - In Pipeline",IF(O198&lt;=365,"Active",IF(O198&lt;=545,"At Risk","Churned"))))</f>
        <v>Active - In Pipeline</v>
      </c>
    </row>
    <row r="199" customFormat="false" ht="15" hidden="false" customHeight="false" outlineLevel="0" collapsed="false">
      <c r="A199" s="7" t="s">
        <v>1586</v>
      </c>
      <c r="B199" s="7" t="s">
        <v>1587</v>
      </c>
      <c r="C199" s="7" t="s">
        <v>201</v>
      </c>
      <c r="D199" s="7" t="s">
        <v>105</v>
      </c>
      <c r="E199" s="7" t="n">
        <f aca="false">COUNTIF(Closed_Deals!$B$2:$B$761,A199)</f>
        <v>0</v>
      </c>
      <c r="F199" s="7" t="n">
        <f aca="false">COUNTIFS(Closed_Deals!$B$2:$B$761,A199,Closed_Deals!$N$2:$N$761,"Won")</f>
        <v>0</v>
      </c>
      <c r="G199" s="7" t="n">
        <f aca="false">E199-F199</f>
        <v>0</v>
      </c>
      <c r="H199" s="11" t="str">
        <f aca="false">IFERROR(F199/E199,"")</f>
        <v/>
      </c>
      <c r="I199" s="10" t="n">
        <f aca="false">SUMIFS(Closed_Deals!$M$2:$M$761,Closed_Deals!$B$2:$B$761,A199,Closed_Deals!$N$2:$N$761,"Won")</f>
        <v>0</v>
      </c>
      <c r="J199" s="10" t="str">
        <f aca="false">IFERROR(I199/F199,"")</f>
        <v/>
      </c>
      <c r="K199" s="8" t="str">
        <f aca="false">IF(F199=0,"",_xlfn.MINIFS(Closed_Deals!$R$2:$R$761,Closed_Deals!$B$2:$B$761,A199,Closed_Deals!$N$2:$N$761,"Won"))</f>
        <v/>
      </c>
      <c r="L199" s="8" t="str">
        <f aca="false">IF(F199=0,"",_xlfn.MAXIFS(Closed_Deals!$R$2:$R$761,Closed_Deals!$B$2:$B$761,A199,Closed_Deals!$N$2:$N$761,"Won"))</f>
        <v/>
      </c>
      <c r="M199" s="7" t="n">
        <f aca="false">COUNTIF(Open_Pipeline!$B$2:$B$151,A199)</f>
        <v>0</v>
      </c>
      <c r="N199" s="10" t="n">
        <f aca="false">SUMIF(Open_Pipeline!$B$2:$B$151,A199,Open_Pipeline!$M$2:$M$151)</f>
        <v>0</v>
      </c>
      <c r="O199" s="7" t="str">
        <f aca="true">IF(F199=0,"",TODAY()-L199)</f>
        <v/>
      </c>
      <c r="P199" s="7" t="str">
        <f aca="false">IF(F199&gt;=2,"Yes","No")</f>
        <v>No</v>
      </c>
      <c r="Q199" s="7" t="str">
        <f aca="false">IF(F199=0,"No Won Business",IF(M199&gt;0,"Active - In Pipeline",IF(O199&lt;=365,"Active",IF(O199&lt;=545,"At Risk","Churned"))))</f>
        <v>No Won Business</v>
      </c>
    </row>
    <row r="200" customFormat="false" ht="15" hidden="false" customHeight="false" outlineLevel="0" collapsed="false">
      <c r="A200" s="7" t="s">
        <v>1119</v>
      </c>
      <c r="B200" s="7" t="s">
        <v>1120</v>
      </c>
      <c r="C200" s="7" t="s">
        <v>104</v>
      </c>
      <c r="D200" s="7" t="s">
        <v>94</v>
      </c>
      <c r="E200" s="7" t="n">
        <f aca="false">COUNTIF(Closed_Deals!$B$2:$B$761,A200)</f>
        <v>3</v>
      </c>
      <c r="F200" s="7" t="n">
        <f aca="false">COUNTIFS(Closed_Deals!$B$2:$B$761,A200,Closed_Deals!$N$2:$N$761,"Won")</f>
        <v>0</v>
      </c>
      <c r="G200" s="7" t="n">
        <f aca="false">E200-F200</f>
        <v>3</v>
      </c>
      <c r="H200" s="11" t="n">
        <f aca="false">IFERROR(F200/E200,"")</f>
        <v>0</v>
      </c>
      <c r="I200" s="10" t="n">
        <f aca="false">SUMIFS(Closed_Deals!$M$2:$M$761,Closed_Deals!$B$2:$B$761,A200,Closed_Deals!$N$2:$N$761,"Won")</f>
        <v>0</v>
      </c>
      <c r="J200" s="10" t="str">
        <f aca="false">IFERROR(I200/F200,"")</f>
        <v/>
      </c>
      <c r="K200" s="8" t="str">
        <f aca="false">IF(F200=0,"",_xlfn.MINIFS(Closed_Deals!$R$2:$R$761,Closed_Deals!$B$2:$B$761,A200,Closed_Deals!$N$2:$N$761,"Won"))</f>
        <v/>
      </c>
      <c r="L200" s="8" t="str">
        <f aca="false">IF(F200=0,"",_xlfn.MAXIFS(Closed_Deals!$R$2:$R$761,Closed_Deals!$B$2:$B$761,A200,Closed_Deals!$N$2:$N$761,"Won"))</f>
        <v/>
      </c>
      <c r="M200" s="7" t="n">
        <f aca="false">COUNTIF(Open_Pipeline!$B$2:$B$151,A200)</f>
        <v>0</v>
      </c>
      <c r="N200" s="10" t="n">
        <f aca="false">SUMIF(Open_Pipeline!$B$2:$B$151,A200,Open_Pipeline!$M$2:$M$151)</f>
        <v>0</v>
      </c>
      <c r="O200" s="7" t="str">
        <f aca="true">IF(F200=0,"",TODAY()-L200)</f>
        <v/>
      </c>
      <c r="P200" s="7" t="str">
        <f aca="false">IF(F200&gt;=2,"Yes","No")</f>
        <v>No</v>
      </c>
      <c r="Q200" s="7" t="str">
        <f aca="false">IF(F200=0,"No Won Business",IF(M200&gt;0,"Active - In Pipeline",IF(O200&lt;=365,"Active",IF(O200&lt;=545,"At Risk","Churned"))))</f>
        <v>No Won Business</v>
      </c>
    </row>
    <row r="201" customFormat="false" ht="15" hidden="false" customHeight="false" outlineLevel="0" collapsed="false">
      <c r="A201" s="7" t="s">
        <v>362</v>
      </c>
      <c r="B201" s="7" t="s">
        <v>363</v>
      </c>
      <c r="C201" s="7" t="s">
        <v>195</v>
      </c>
      <c r="D201" s="7" t="s">
        <v>162</v>
      </c>
      <c r="E201" s="7" t="n">
        <f aca="false">COUNTIF(Closed_Deals!$B$2:$B$761,A201)</f>
        <v>10</v>
      </c>
      <c r="F201" s="7" t="n">
        <f aca="false">COUNTIFS(Closed_Deals!$B$2:$B$761,A201,Closed_Deals!$N$2:$N$761,"Won")</f>
        <v>4</v>
      </c>
      <c r="G201" s="7" t="n">
        <f aca="false">E201-F201</f>
        <v>6</v>
      </c>
      <c r="H201" s="11" t="n">
        <f aca="false">IFERROR(F201/E201,"")</f>
        <v>0.4</v>
      </c>
      <c r="I201" s="10" t="n">
        <f aca="false">SUMIFS(Closed_Deals!$M$2:$M$761,Closed_Deals!$B$2:$B$761,A201,Closed_Deals!$N$2:$N$761,"Won")</f>
        <v>526835.65</v>
      </c>
      <c r="J201" s="10" t="n">
        <f aca="false">IFERROR(I201/F201,"")</f>
        <v>131708.9125</v>
      </c>
      <c r="K201" s="8" t="n">
        <f aca="false">IF(F201=0,"",_xlfn.MINIFS(Closed_Deals!$R$2:$R$761,Closed_Deals!$B$2:$B$761,A201,Closed_Deals!$N$2:$N$761,"Won"))</f>
        <v>45639</v>
      </c>
      <c r="L201" s="8" t="n">
        <f aca="false">IF(F201=0,"",_xlfn.MAXIFS(Closed_Deals!$R$2:$R$761,Closed_Deals!$B$2:$B$761,A201,Closed_Deals!$N$2:$N$761,"Won"))</f>
        <v>46128</v>
      </c>
      <c r="M201" s="7" t="n">
        <f aca="false">COUNTIF(Open_Pipeline!$B$2:$B$151,A201)</f>
        <v>0</v>
      </c>
      <c r="N201" s="10" t="n">
        <f aca="false">SUMIF(Open_Pipeline!$B$2:$B$151,A201,Open_Pipeline!$M$2:$M$151)</f>
        <v>0</v>
      </c>
      <c r="O201" s="7" t="n">
        <f aca="true">IF(F201=0,"",TODAY()-L201)</f>
        <v>146</v>
      </c>
      <c r="P201" s="7" t="str">
        <f aca="false">IF(F201&gt;=2,"Yes","No")</f>
        <v>Yes</v>
      </c>
      <c r="Q201" s="7" t="str">
        <f aca="false">IF(F201=0,"No Won Business",IF(M201&gt;0,"Active - In Pipeline",IF(O201&lt;=365,"Active",IF(O201&lt;=545,"At Risk","Churned"))))</f>
        <v>Active</v>
      </c>
    </row>
    <row r="202" customFormat="false" ht="15" hidden="false" customHeight="false" outlineLevel="0" collapsed="false">
      <c r="A202" s="7" t="s">
        <v>926</v>
      </c>
      <c r="B202" s="7" t="s">
        <v>927</v>
      </c>
      <c r="C202" s="7" t="s">
        <v>93</v>
      </c>
      <c r="D202" s="7" t="s">
        <v>115</v>
      </c>
      <c r="E202" s="7" t="n">
        <f aca="false">COUNTIF(Closed_Deals!$B$2:$B$761,A202)</f>
        <v>1</v>
      </c>
      <c r="F202" s="7" t="n">
        <f aca="false">COUNTIFS(Closed_Deals!$B$2:$B$761,A202,Closed_Deals!$N$2:$N$761,"Won")</f>
        <v>1</v>
      </c>
      <c r="G202" s="7" t="n">
        <f aca="false">E202-F202</f>
        <v>0</v>
      </c>
      <c r="H202" s="11" t="n">
        <f aca="false">IFERROR(F202/E202,"")</f>
        <v>1</v>
      </c>
      <c r="I202" s="10" t="n">
        <f aca="false">SUMIFS(Closed_Deals!$M$2:$M$761,Closed_Deals!$B$2:$B$761,A202,Closed_Deals!$N$2:$N$761,"Won")</f>
        <v>144062.48</v>
      </c>
      <c r="J202" s="10" t="n">
        <f aca="false">IFERROR(I202/F202,"")</f>
        <v>144062.48</v>
      </c>
      <c r="K202" s="8" t="n">
        <f aca="false">IF(F202=0,"",_xlfn.MINIFS(Closed_Deals!$R$2:$R$761,Closed_Deals!$B$2:$B$761,A202,Closed_Deals!$N$2:$N$761,"Won"))</f>
        <v>46047</v>
      </c>
      <c r="L202" s="8" t="n">
        <f aca="false">IF(F202=0,"",_xlfn.MAXIFS(Closed_Deals!$R$2:$R$761,Closed_Deals!$B$2:$B$761,A202,Closed_Deals!$N$2:$N$761,"Won"))</f>
        <v>46047</v>
      </c>
      <c r="M202" s="7" t="n">
        <f aca="false">COUNTIF(Open_Pipeline!$B$2:$B$151,A202)</f>
        <v>0</v>
      </c>
      <c r="N202" s="10" t="n">
        <f aca="false">SUMIF(Open_Pipeline!$B$2:$B$151,A202,Open_Pipeline!$M$2:$M$151)</f>
        <v>0</v>
      </c>
      <c r="O202" s="7" t="n">
        <f aca="true">IF(F202=0,"",TODAY()-L202)</f>
        <v>227</v>
      </c>
      <c r="P202" s="7" t="str">
        <f aca="false">IF(F202&gt;=2,"Yes","No")</f>
        <v>No</v>
      </c>
      <c r="Q202" s="7" t="str">
        <f aca="false">IF(F202=0,"No Won Business",IF(M202&gt;0,"Active - In Pipeline",IF(O202&lt;=365,"Active",IF(O202&lt;=545,"At Risk","Churned"))))</f>
        <v>Active</v>
      </c>
    </row>
    <row r="203" customFormat="false" ht="15" hidden="false" customHeight="false" outlineLevel="0" collapsed="false">
      <c r="A203" s="7" t="s">
        <v>308</v>
      </c>
      <c r="B203" s="7" t="s">
        <v>309</v>
      </c>
      <c r="C203" s="7" t="s">
        <v>195</v>
      </c>
      <c r="D203" s="7" t="s">
        <v>105</v>
      </c>
      <c r="E203" s="7" t="n">
        <f aca="false">COUNTIF(Closed_Deals!$B$2:$B$761,A203)</f>
        <v>1</v>
      </c>
      <c r="F203" s="7" t="n">
        <f aca="false">COUNTIFS(Closed_Deals!$B$2:$B$761,A203,Closed_Deals!$N$2:$N$761,"Won")</f>
        <v>1</v>
      </c>
      <c r="G203" s="7" t="n">
        <f aca="false">E203-F203</f>
        <v>0</v>
      </c>
      <c r="H203" s="11" t="n">
        <f aca="false">IFERROR(F203/E203,"")</f>
        <v>1</v>
      </c>
      <c r="I203" s="10" t="n">
        <f aca="false">SUMIFS(Closed_Deals!$M$2:$M$761,Closed_Deals!$B$2:$B$761,A203,Closed_Deals!$N$2:$N$761,"Won")</f>
        <v>134518.35</v>
      </c>
      <c r="J203" s="10" t="n">
        <f aca="false">IFERROR(I203/F203,"")</f>
        <v>134518.35</v>
      </c>
      <c r="K203" s="8" t="n">
        <f aca="false">IF(F203=0,"",_xlfn.MINIFS(Closed_Deals!$R$2:$R$761,Closed_Deals!$B$2:$B$761,A203,Closed_Deals!$N$2:$N$761,"Won"))</f>
        <v>45480</v>
      </c>
      <c r="L203" s="8" t="n">
        <f aca="false">IF(F203=0,"",_xlfn.MAXIFS(Closed_Deals!$R$2:$R$761,Closed_Deals!$B$2:$B$761,A203,Closed_Deals!$N$2:$N$761,"Won"))</f>
        <v>45480</v>
      </c>
      <c r="M203" s="7" t="n">
        <f aca="false">COUNTIF(Open_Pipeline!$B$2:$B$151,A203)</f>
        <v>0</v>
      </c>
      <c r="N203" s="10" t="n">
        <f aca="false">SUMIF(Open_Pipeline!$B$2:$B$151,A203,Open_Pipeline!$M$2:$M$151)</f>
        <v>0</v>
      </c>
      <c r="O203" s="7" t="n">
        <f aca="true">IF(F203=0,"",TODAY()-L203)</f>
        <v>794</v>
      </c>
      <c r="P203" s="7" t="str">
        <f aca="false">IF(F203&gt;=2,"Yes","No")</f>
        <v>No</v>
      </c>
      <c r="Q203" s="7" t="str">
        <f aca="false">IF(F203=0,"No Won Business",IF(M203&gt;0,"Active - In Pipeline",IF(O203&lt;=365,"Active",IF(O203&lt;=545,"At Risk","Churned"))))</f>
        <v>Churned</v>
      </c>
    </row>
    <row r="204" customFormat="false" ht="15" hidden="false" customHeight="false" outlineLevel="0" collapsed="false">
      <c r="A204" s="7" t="s">
        <v>369</v>
      </c>
      <c r="B204" s="7" t="s">
        <v>370</v>
      </c>
      <c r="C204" s="7" t="s">
        <v>242</v>
      </c>
      <c r="D204" s="7" t="s">
        <v>115</v>
      </c>
      <c r="E204" s="7" t="n">
        <f aca="false">COUNTIF(Closed_Deals!$B$2:$B$761,A204)</f>
        <v>4</v>
      </c>
      <c r="F204" s="7" t="n">
        <f aca="false">COUNTIFS(Closed_Deals!$B$2:$B$761,A204,Closed_Deals!$N$2:$N$761,"Won")</f>
        <v>2</v>
      </c>
      <c r="G204" s="7" t="n">
        <f aca="false">E204-F204</f>
        <v>2</v>
      </c>
      <c r="H204" s="11" t="n">
        <f aca="false">IFERROR(F204/E204,"")</f>
        <v>0.5</v>
      </c>
      <c r="I204" s="10" t="n">
        <f aca="false">SUMIFS(Closed_Deals!$M$2:$M$761,Closed_Deals!$B$2:$B$761,A204,Closed_Deals!$N$2:$N$761,"Won")</f>
        <v>330680.47</v>
      </c>
      <c r="J204" s="10" t="n">
        <f aca="false">IFERROR(I204/F204,"")</f>
        <v>165340.235</v>
      </c>
      <c r="K204" s="8" t="n">
        <f aca="false">IF(F204=0,"",_xlfn.MINIFS(Closed_Deals!$R$2:$R$761,Closed_Deals!$B$2:$B$761,A204,Closed_Deals!$N$2:$N$761,"Won"))</f>
        <v>46076</v>
      </c>
      <c r="L204" s="8" t="n">
        <f aca="false">IF(F204=0,"",_xlfn.MAXIFS(Closed_Deals!$R$2:$R$761,Closed_Deals!$B$2:$B$761,A204,Closed_Deals!$N$2:$N$761,"Won"))</f>
        <v>46304</v>
      </c>
      <c r="M204" s="7" t="n">
        <f aca="false">COUNTIF(Open_Pipeline!$B$2:$B$151,A204)</f>
        <v>3</v>
      </c>
      <c r="N204" s="10" t="n">
        <f aca="false">SUMIF(Open_Pipeline!$B$2:$B$151,A204,Open_Pipeline!$M$2:$M$151)</f>
        <v>478232.71</v>
      </c>
      <c r="O204" s="7" t="n">
        <f aca="true">IF(F204=0,"",TODAY()-L204)</f>
        <v>-30</v>
      </c>
      <c r="P204" s="7" t="str">
        <f aca="false">IF(F204&gt;=2,"Yes","No")</f>
        <v>Yes</v>
      </c>
      <c r="Q204" s="7" t="str">
        <f aca="false">IF(F204=0,"No Won Business",IF(M204&gt;0,"Active - In Pipeline",IF(O204&lt;=365,"Active",IF(O204&lt;=545,"At Risk","Churned"))))</f>
        <v>Active - In Pipeline</v>
      </c>
    </row>
    <row r="205" customFormat="false" ht="15" hidden="false" customHeight="false" outlineLevel="0" collapsed="false">
      <c r="A205" s="7" t="s">
        <v>943</v>
      </c>
      <c r="B205" s="7" t="s">
        <v>944</v>
      </c>
      <c r="C205" s="7" t="s">
        <v>151</v>
      </c>
      <c r="D205" s="7" t="s">
        <v>94</v>
      </c>
      <c r="E205" s="7" t="n">
        <f aca="false">COUNTIF(Closed_Deals!$B$2:$B$761,A205)</f>
        <v>1</v>
      </c>
      <c r="F205" s="7" t="n">
        <f aca="false">COUNTIFS(Closed_Deals!$B$2:$B$761,A205,Closed_Deals!$N$2:$N$761,"Won")</f>
        <v>0</v>
      </c>
      <c r="G205" s="7" t="n">
        <f aca="false">E205-F205</f>
        <v>1</v>
      </c>
      <c r="H205" s="11" t="n">
        <f aca="false">IFERROR(F205/E205,"")</f>
        <v>0</v>
      </c>
      <c r="I205" s="10" t="n">
        <f aca="false">SUMIFS(Closed_Deals!$M$2:$M$761,Closed_Deals!$B$2:$B$761,A205,Closed_Deals!$N$2:$N$761,"Won")</f>
        <v>0</v>
      </c>
      <c r="J205" s="10" t="str">
        <f aca="false">IFERROR(I205/F205,"")</f>
        <v/>
      </c>
      <c r="K205" s="8" t="str">
        <f aca="false">IF(F205=0,"",_xlfn.MINIFS(Closed_Deals!$R$2:$R$761,Closed_Deals!$B$2:$B$761,A205,Closed_Deals!$N$2:$N$761,"Won"))</f>
        <v/>
      </c>
      <c r="L205" s="8" t="str">
        <f aca="false">IF(F205=0,"",_xlfn.MAXIFS(Closed_Deals!$R$2:$R$761,Closed_Deals!$B$2:$B$761,A205,Closed_Deals!$N$2:$N$761,"Won"))</f>
        <v/>
      </c>
      <c r="M205" s="7" t="n">
        <f aca="false">COUNTIF(Open_Pipeline!$B$2:$B$151,A205)</f>
        <v>0</v>
      </c>
      <c r="N205" s="10" t="n">
        <f aca="false">SUMIF(Open_Pipeline!$B$2:$B$151,A205,Open_Pipeline!$M$2:$M$151)</f>
        <v>0</v>
      </c>
      <c r="O205" s="7" t="str">
        <f aca="true">IF(F205=0,"",TODAY()-L205)</f>
        <v/>
      </c>
      <c r="P205" s="7" t="str">
        <f aca="false">IF(F205&gt;=2,"Yes","No")</f>
        <v>No</v>
      </c>
      <c r="Q205" s="7" t="str">
        <f aca="false">IF(F205=0,"No Won Business",IF(M205&gt;0,"Active - In Pipeline",IF(O205&lt;=365,"Active",IF(O205&lt;=545,"At Risk","Churned"))))</f>
        <v>No Won Business</v>
      </c>
    </row>
    <row r="206" customFormat="false" ht="15" hidden="false" customHeight="false" outlineLevel="0" collapsed="false">
      <c r="A206" s="7" t="s">
        <v>517</v>
      </c>
      <c r="B206" s="7" t="s">
        <v>518</v>
      </c>
      <c r="C206" s="7" t="s">
        <v>151</v>
      </c>
      <c r="D206" s="7" t="s">
        <v>115</v>
      </c>
      <c r="E206" s="7" t="n">
        <f aca="false">COUNTIF(Closed_Deals!$B$2:$B$761,A206)</f>
        <v>4</v>
      </c>
      <c r="F206" s="7" t="n">
        <f aca="false">COUNTIFS(Closed_Deals!$B$2:$B$761,A206,Closed_Deals!$N$2:$N$761,"Won")</f>
        <v>2</v>
      </c>
      <c r="G206" s="7" t="n">
        <f aca="false">E206-F206</f>
        <v>2</v>
      </c>
      <c r="H206" s="11" t="n">
        <f aca="false">IFERROR(F206/E206,"")</f>
        <v>0.5</v>
      </c>
      <c r="I206" s="10" t="n">
        <f aca="false">SUMIFS(Closed_Deals!$M$2:$M$761,Closed_Deals!$B$2:$B$761,A206,Closed_Deals!$N$2:$N$761,"Won")</f>
        <v>166117.61</v>
      </c>
      <c r="J206" s="10" t="n">
        <f aca="false">IFERROR(I206/F206,"")</f>
        <v>83058.805</v>
      </c>
      <c r="K206" s="8" t="n">
        <f aca="false">IF(F206=0,"",_xlfn.MINIFS(Closed_Deals!$R$2:$R$761,Closed_Deals!$B$2:$B$761,A206,Closed_Deals!$N$2:$N$761,"Won"))</f>
        <v>45974</v>
      </c>
      <c r="L206" s="8" t="n">
        <f aca="false">IF(F206=0,"",_xlfn.MAXIFS(Closed_Deals!$R$2:$R$761,Closed_Deals!$B$2:$B$761,A206,Closed_Deals!$N$2:$N$761,"Won"))</f>
        <v>46006</v>
      </c>
      <c r="M206" s="7" t="n">
        <f aca="false">COUNTIF(Open_Pipeline!$B$2:$B$151,A206)</f>
        <v>1</v>
      </c>
      <c r="N206" s="10" t="n">
        <f aca="false">SUMIF(Open_Pipeline!$B$2:$B$151,A206,Open_Pipeline!$M$2:$M$151)</f>
        <v>78126.92</v>
      </c>
      <c r="O206" s="7" t="n">
        <f aca="true">IF(F206=0,"",TODAY()-L206)</f>
        <v>268</v>
      </c>
      <c r="P206" s="7" t="str">
        <f aca="false">IF(F206&gt;=2,"Yes","No")</f>
        <v>Yes</v>
      </c>
      <c r="Q206" s="7" t="str">
        <f aca="false">IF(F206=0,"No Won Business",IF(M206&gt;0,"Active - In Pipeline",IF(O206&lt;=365,"Active",IF(O206&lt;=545,"At Risk","Churned"))))</f>
        <v>Active - In Pipeline</v>
      </c>
    </row>
    <row r="207" customFormat="false" ht="15" hidden="false" customHeight="false" outlineLevel="0" collapsed="false">
      <c r="A207" s="7" t="s">
        <v>424</v>
      </c>
      <c r="B207" s="7" t="s">
        <v>425</v>
      </c>
      <c r="C207" s="7" t="s">
        <v>114</v>
      </c>
      <c r="D207" s="7" t="s">
        <v>115</v>
      </c>
      <c r="E207" s="7" t="n">
        <f aca="false">COUNTIF(Closed_Deals!$B$2:$B$761,A207)</f>
        <v>12</v>
      </c>
      <c r="F207" s="7" t="n">
        <f aca="false">COUNTIFS(Closed_Deals!$B$2:$B$761,A207,Closed_Deals!$N$2:$N$761,"Won")</f>
        <v>3</v>
      </c>
      <c r="G207" s="7" t="n">
        <f aca="false">E207-F207</f>
        <v>9</v>
      </c>
      <c r="H207" s="11" t="n">
        <f aca="false">IFERROR(F207/E207,"")</f>
        <v>0.25</v>
      </c>
      <c r="I207" s="10" t="n">
        <f aca="false">SUMIFS(Closed_Deals!$M$2:$M$761,Closed_Deals!$B$2:$B$761,A207,Closed_Deals!$N$2:$N$761,"Won")</f>
        <v>347313.4</v>
      </c>
      <c r="J207" s="10" t="n">
        <f aca="false">IFERROR(I207/F207,"")</f>
        <v>115771.133333333</v>
      </c>
      <c r="K207" s="8" t="n">
        <f aca="false">IF(F207=0,"",_xlfn.MINIFS(Closed_Deals!$R$2:$R$761,Closed_Deals!$B$2:$B$761,A207,Closed_Deals!$N$2:$N$761,"Won"))</f>
        <v>45619</v>
      </c>
      <c r="L207" s="8" t="n">
        <f aca="false">IF(F207=0,"",_xlfn.MAXIFS(Closed_Deals!$R$2:$R$761,Closed_Deals!$B$2:$B$761,A207,Closed_Deals!$N$2:$N$761,"Won"))</f>
        <v>46258</v>
      </c>
      <c r="M207" s="7" t="n">
        <f aca="false">COUNTIF(Open_Pipeline!$B$2:$B$151,A207)</f>
        <v>2</v>
      </c>
      <c r="N207" s="10" t="n">
        <f aca="false">SUMIF(Open_Pipeline!$B$2:$B$151,A207,Open_Pipeline!$M$2:$M$151)</f>
        <v>289812.13</v>
      </c>
      <c r="O207" s="7" t="n">
        <f aca="true">IF(F207=0,"",TODAY()-L207)</f>
        <v>16</v>
      </c>
      <c r="P207" s="7" t="str">
        <f aca="false">IF(F207&gt;=2,"Yes","No")</f>
        <v>Yes</v>
      </c>
      <c r="Q207" s="7" t="str">
        <f aca="false">IF(F207=0,"No Won Business",IF(M207&gt;0,"Active - In Pipeline",IF(O207&lt;=365,"Active",IF(O207&lt;=545,"At Risk","Churned"))))</f>
        <v>Active - In Pipeline</v>
      </c>
    </row>
    <row r="208" customFormat="false" ht="15" hidden="false" customHeight="false" outlineLevel="0" collapsed="false">
      <c r="A208" s="7" t="s">
        <v>861</v>
      </c>
      <c r="B208" s="7" t="s">
        <v>862</v>
      </c>
      <c r="C208" s="7" t="s">
        <v>151</v>
      </c>
      <c r="D208" s="7" t="s">
        <v>162</v>
      </c>
      <c r="E208" s="7" t="n">
        <f aca="false">COUNTIF(Closed_Deals!$B$2:$B$761,A208)</f>
        <v>2</v>
      </c>
      <c r="F208" s="7" t="n">
        <f aca="false">COUNTIFS(Closed_Deals!$B$2:$B$761,A208,Closed_Deals!$N$2:$N$761,"Won")</f>
        <v>0</v>
      </c>
      <c r="G208" s="7" t="n">
        <f aca="false">E208-F208</f>
        <v>2</v>
      </c>
      <c r="H208" s="11" t="n">
        <f aca="false">IFERROR(F208/E208,"")</f>
        <v>0</v>
      </c>
      <c r="I208" s="10" t="n">
        <f aca="false">SUMIFS(Closed_Deals!$M$2:$M$761,Closed_Deals!$B$2:$B$761,A208,Closed_Deals!$N$2:$N$761,"Won")</f>
        <v>0</v>
      </c>
      <c r="J208" s="10" t="str">
        <f aca="false">IFERROR(I208/F208,"")</f>
        <v/>
      </c>
      <c r="K208" s="8" t="str">
        <f aca="false">IF(F208=0,"",_xlfn.MINIFS(Closed_Deals!$R$2:$R$761,Closed_Deals!$B$2:$B$761,A208,Closed_Deals!$N$2:$N$761,"Won"))</f>
        <v/>
      </c>
      <c r="L208" s="8" t="str">
        <f aca="false">IF(F208=0,"",_xlfn.MAXIFS(Closed_Deals!$R$2:$R$761,Closed_Deals!$B$2:$B$761,A208,Closed_Deals!$N$2:$N$761,"Won"))</f>
        <v/>
      </c>
      <c r="M208" s="7" t="n">
        <f aca="false">COUNTIF(Open_Pipeline!$B$2:$B$151,A208)</f>
        <v>0</v>
      </c>
      <c r="N208" s="10" t="n">
        <f aca="false">SUMIF(Open_Pipeline!$B$2:$B$151,A208,Open_Pipeline!$M$2:$M$151)</f>
        <v>0</v>
      </c>
      <c r="O208" s="7" t="str">
        <f aca="true">IF(F208=0,"",TODAY()-L208)</f>
        <v/>
      </c>
      <c r="P208" s="7" t="str">
        <f aca="false">IF(F208&gt;=2,"Yes","No")</f>
        <v>No</v>
      </c>
      <c r="Q208" s="7" t="str">
        <f aca="false">IF(F208=0,"No Won Business",IF(M208&gt;0,"Active - In Pipeline",IF(O208&lt;=365,"Active",IF(O208&lt;=545,"At Risk","Churned"))))</f>
        <v>No Won Business</v>
      </c>
    </row>
    <row r="209" customFormat="false" ht="15" hidden="false" customHeight="false" outlineLevel="0" collapsed="false">
      <c r="A209" s="7" t="s">
        <v>383</v>
      </c>
      <c r="B209" s="7" t="s">
        <v>384</v>
      </c>
      <c r="C209" s="7" t="s">
        <v>242</v>
      </c>
      <c r="D209" s="7" t="s">
        <v>115</v>
      </c>
      <c r="E209" s="7" t="n">
        <f aca="false">COUNTIF(Closed_Deals!$B$2:$B$761,A209)</f>
        <v>1</v>
      </c>
      <c r="F209" s="7" t="n">
        <f aca="false">COUNTIFS(Closed_Deals!$B$2:$B$761,A209,Closed_Deals!$N$2:$N$761,"Won")</f>
        <v>1</v>
      </c>
      <c r="G209" s="7" t="n">
        <f aca="false">E209-F209</f>
        <v>0</v>
      </c>
      <c r="H209" s="11" t="n">
        <f aca="false">IFERROR(F209/E209,"")</f>
        <v>1</v>
      </c>
      <c r="I209" s="10" t="n">
        <f aca="false">SUMIFS(Closed_Deals!$M$2:$M$761,Closed_Deals!$B$2:$B$761,A209,Closed_Deals!$N$2:$N$761,"Won")</f>
        <v>26015.9</v>
      </c>
      <c r="J209" s="10" t="n">
        <f aca="false">IFERROR(I209/F209,"")</f>
        <v>26015.9</v>
      </c>
      <c r="K209" s="8" t="n">
        <f aca="false">IF(F209=0,"",_xlfn.MINIFS(Closed_Deals!$R$2:$R$761,Closed_Deals!$B$2:$B$761,A209,Closed_Deals!$N$2:$N$761,"Won"))</f>
        <v>45574</v>
      </c>
      <c r="L209" s="8" t="n">
        <f aca="false">IF(F209=0,"",_xlfn.MAXIFS(Closed_Deals!$R$2:$R$761,Closed_Deals!$B$2:$B$761,A209,Closed_Deals!$N$2:$N$761,"Won"))</f>
        <v>45574</v>
      </c>
      <c r="M209" s="7" t="n">
        <f aca="false">COUNTIF(Open_Pipeline!$B$2:$B$151,A209)</f>
        <v>0</v>
      </c>
      <c r="N209" s="10" t="n">
        <f aca="false">SUMIF(Open_Pipeline!$B$2:$B$151,A209,Open_Pipeline!$M$2:$M$151)</f>
        <v>0</v>
      </c>
      <c r="O209" s="7" t="n">
        <f aca="true">IF(F209=0,"",TODAY()-L209)</f>
        <v>700</v>
      </c>
      <c r="P209" s="7" t="str">
        <f aca="false">IF(F209&gt;=2,"Yes","No")</f>
        <v>No</v>
      </c>
      <c r="Q209" s="7" t="str">
        <f aca="false">IF(F209=0,"No Won Business",IF(M209&gt;0,"Active - In Pipeline",IF(O209&lt;=365,"Active",IF(O209&lt;=545,"At Risk","Churned"))))</f>
        <v>Churned</v>
      </c>
    </row>
    <row r="210" customFormat="false" ht="15" hidden="false" customHeight="false" outlineLevel="0" collapsed="false">
      <c r="A210" s="7" t="s">
        <v>1588</v>
      </c>
      <c r="B210" s="7" t="s">
        <v>1589</v>
      </c>
      <c r="C210" s="7" t="s">
        <v>195</v>
      </c>
      <c r="D210" s="7" t="s">
        <v>115</v>
      </c>
      <c r="E210" s="7" t="n">
        <f aca="false">COUNTIF(Closed_Deals!$B$2:$B$761,A210)</f>
        <v>0</v>
      </c>
      <c r="F210" s="7" t="n">
        <f aca="false">COUNTIFS(Closed_Deals!$B$2:$B$761,A210,Closed_Deals!$N$2:$N$761,"Won")</f>
        <v>0</v>
      </c>
      <c r="G210" s="7" t="n">
        <f aca="false">E210-F210</f>
        <v>0</v>
      </c>
      <c r="H210" s="11" t="str">
        <f aca="false">IFERROR(F210/E210,"")</f>
        <v/>
      </c>
      <c r="I210" s="10" t="n">
        <f aca="false">SUMIFS(Closed_Deals!$M$2:$M$761,Closed_Deals!$B$2:$B$761,A210,Closed_Deals!$N$2:$N$761,"Won")</f>
        <v>0</v>
      </c>
      <c r="J210" s="10" t="str">
        <f aca="false">IFERROR(I210/F210,"")</f>
        <v/>
      </c>
      <c r="K210" s="8" t="str">
        <f aca="false">IF(F210=0,"",_xlfn.MINIFS(Closed_Deals!$R$2:$R$761,Closed_Deals!$B$2:$B$761,A210,Closed_Deals!$N$2:$N$761,"Won"))</f>
        <v/>
      </c>
      <c r="L210" s="8" t="str">
        <f aca="false">IF(F210=0,"",_xlfn.MAXIFS(Closed_Deals!$R$2:$R$761,Closed_Deals!$B$2:$B$761,A210,Closed_Deals!$N$2:$N$761,"Won"))</f>
        <v/>
      </c>
      <c r="M210" s="7" t="n">
        <f aca="false">COUNTIF(Open_Pipeline!$B$2:$B$151,A210)</f>
        <v>0</v>
      </c>
      <c r="N210" s="10" t="n">
        <f aca="false">SUMIF(Open_Pipeline!$B$2:$B$151,A210,Open_Pipeline!$M$2:$M$151)</f>
        <v>0</v>
      </c>
      <c r="O210" s="7" t="str">
        <f aca="true">IF(F210=0,"",TODAY()-L210)</f>
        <v/>
      </c>
      <c r="P210" s="7" t="str">
        <f aca="false">IF(F210&gt;=2,"Yes","No")</f>
        <v>No</v>
      </c>
      <c r="Q210" s="7" t="str">
        <f aca="false">IF(F210=0,"No Won Business",IF(M210&gt;0,"Active - In Pipeline",IF(O210&lt;=365,"Active",IF(O210&lt;=545,"At Risk","Churned"))))</f>
        <v>No Won Business</v>
      </c>
    </row>
    <row r="211" customFormat="false" ht="15" hidden="false" customHeight="false" outlineLevel="0" collapsed="false">
      <c r="A211" s="7" t="s">
        <v>1111</v>
      </c>
      <c r="B211" s="7" t="s">
        <v>1112</v>
      </c>
      <c r="C211" s="7" t="s">
        <v>114</v>
      </c>
      <c r="D211" s="7" t="s">
        <v>94</v>
      </c>
      <c r="E211" s="7" t="n">
        <f aca="false">COUNTIF(Closed_Deals!$B$2:$B$761,A211)</f>
        <v>1</v>
      </c>
      <c r="F211" s="7" t="n">
        <f aca="false">COUNTIFS(Closed_Deals!$B$2:$B$761,A211,Closed_Deals!$N$2:$N$761,"Won")</f>
        <v>0</v>
      </c>
      <c r="G211" s="7" t="n">
        <f aca="false">E211-F211</f>
        <v>1</v>
      </c>
      <c r="H211" s="11" t="n">
        <f aca="false">IFERROR(F211/E211,"")</f>
        <v>0</v>
      </c>
      <c r="I211" s="10" t="n">
        <f aca="false">SUMIFS(Closed_Deals!$M$2:$M$761,Closed_Deals!$B$2:$B$761,A211,Closed_Deals!$N$2:$N$761,"Won")</f>
        <v>0</v>
      </c>
      <c r="J211" s="10" t="str">
        <f aca="false">IFERROR(I211/F211,"")</f>
        <v/>
      </c>
      <c r="K211" s="8" t="str">
        <f aca="false">IF(F211=0,"",_xlfn.MINIFS(Closed_Deals!$R$2:$R$761,Closed_Deals!$B$2:$B$761,A211,Closed_Deals!$N$2:$N$761,"Won"))</f>
        <v/>
      </c>
      <c r="L211" s="8" t="str">
        <f aca="false">IF(F211=0,"",_xlfn.MAXIFS(Closed_Deals!$R$2:$R$761,Closed_Deals!$B$2:$B$761,A211,Closed_Deals!$N$2:$N$761,"Won"))</f>
        <v/>
      </c>
      <c r="M211" s="7" t="n">
        <f aca="false">COUNTIF(Open_Pipeline!$B$2:$B$151,A211)</f>
        <v>0</v>
      </c>
      <c r="N211" s="10" t="n">
        <f aca="false">SUMIF(Open_Pipeline!$B$2:$B$151,A211,Open_Pipeline!$M$2:$M$151)</f>
        <v>0</v>
      </c>
      <c r="O211" s="7" t="str">
        <f aca="true">IF(F211=0,"",TODAY()-L211)</f>
        <v/>
      </c>
      <c r="P211" s="7" t="str">
        <f aca="false">IF(F211&gt;=2,"Yes","No")</f>
        <v>No</v>
      </c>
      <c r="Q211" s="7" t="str">
        <f aca="false">IF(F211=0,"No Won Business",IF(M211&gt;0,"Active - In Pipeline",IF(O211&lt;=365,"Active",IF(O211&lt;=545,"At Risk","Churned"))))</f>
        <v>No Won Business</v>
      </c>
    </row>
    <row r="212" customFormat="false" ht="15" hidden="false" customHeight="false" outlineLevel="0" collapsed="false">
      <c r="A212" s="7" t="s">
        <v>291</v>
      </c>
      <c r="B212" s="7" t="s">
        <v>292</v>
      </c>
      <c r="C212" s="7" t="s">
        <v>201</v>
      </c>
      <c r="D212" s="7" t="s">
        <v>94</v>
      </c>
      <c r="E212" s="7" t="n">
        <f aca="false">COUNTIF(Closed_Deals!$B$2:$B$761,A212)</f>
        <v>10</v>
      </c>
      <c r="F212" s="7" t="n">
        <f aca="false">COUNTIFS(Closed_Deals!$B$2:$B$761,A212,Closed_Deals!$N$2:$N$761,"Won")</f>
        <v>4</v>
      </c>
      <c r="G212" s="7" t="n">
        <f aca="false">E212-F212</f>
        <v>6</v>
      </c>
      <c r="H212" s="11" t="n">
        <f aca="false">IFERROR(F212/E212,"")</f>
        <v>0.4</v>
      </c>
      <c r="I212" s="10" t="n">
        <f aca="false">SUMIFS(Closed_Deals!$M$2:$M$761,Closed_Deals!$B$2:$B$761,A212,Closed_Deals!$N$2:$N$761,"Won")</f>
        <v>350301.95</v>
      </c>
      <c r="J212" s="10" t="n">
        <f aca="false">IFERROR(I212/F212,"")</f>
        <v>87575.4875</v>
      </c>
      <c r="K212" s="8" t="n">
        <f aca="false">IF(F212=0,"",_xlfn.MINIFS(Closed_Deals!$R$2:$R$761,Closed_Deals!$B$2:$B$761,A212,Closed_Deals!$N$2:$N$761,"Won"))</f>
        <v>45448</v>
      </c>
      <c r="L212" s="8" t="n">
        <f aca="false">IF(F212=0,"",_xlfn.MAXIFS(Closed_Deals!$R$2:$R$761,Closed_Deals!$B$2:$B$761,A212,Closed_Deals!$N$2:$N$761,"Won"))</f>
        <v>46147</v>
      </c>
      <c r="M212" s="7" t="n">
        <f aca="false">COUNTIF(Open_Pipeline!$B$2:$B$151,A212)</f>
        <v>2</v>
      </c>
      <c r="N212" s="10" t="n">
        <f aca="false">SUMIF(Open_Pipeline!$B$2:$B$151,A212,Open_Pipeline!$M$2:$M$151)</f>
        <v>189047.56</v>
      </c>
      <c r="O212" s="7" t="n">
        <f aca="true">IF(F212=0,"",TODAY()-L212)</f>
        <v>127</v>
      </c>
      <c r="P212" s="7" t="str">
        <f aca="false">IF(F212&gt;=2,"Yes","No")</f>
        <v>Yes</v>
      </c>
      <c r="Q212" s="7" t="str">
        <f aca="false">IF(F212=0,"No Won Business",IF(M212&gt;0,"Active - In Pipeline",IF(O212&lt;=365,"Active",IF(O212&lt;=545,"At Risk","Churned"))))</f>
        <v>Active - In Pipeline</v>
      </c>
    </row>
    <row r="213" customFormat="false" ht="15" hidden="false" customHeight="false" outlineLevel="0" collapsed="false">
      <c r="A213" s="7" t="s">
        <v>975</v>
      </c>
      <c r="B213" s="7" t="s">
        <v>976</v>
      </c>
      <c r="C213" s="7" t="s">
        <v>242</v>
      </c>
      <c r="D213" s="7" t="s">
        <v>94</v>
      </c>
      <c r="E213" s="7" t="n">
        <f aca="false">COUNTIF(Closed_Deals!$B$2:$B$761,A213)</f>
        <v>3</v>
      </c>
      <c r="F213" s="7" t="n">
        <f aca="false">COUNTIFS(Closed_Deals!$B$2:$B$761,A213,Closed_Deals!$N$2:$N$761,"Won")</f>
        <v>0</v>
      </c>
      <c r="G213" s="7" t="n">
        <f aca="false">E213-F213</f>
        <v>3</v>
      </c>
      <c r="H213" s="11" t="n">
        <f aca="false">IFERROR(F213/E213,"")</f>
        <v>0</v>
      </c>
      <c r="I213" s="10" t="n">
        <f aca="false">SUMIFS(Closed_Deals!$M$2:$M$761,Closed_Deals!$B$2:$B$761,A213,Closed_Deals!$N$2:$N$761,"Won")</f>
        <v>0</v>
      </c>
      <c r="J213" s="10" t="str">
        <f aca="false">IFERROR(I213/F213,"")</f>
        <v/>
      </c>
      <c r="K213" s="8" t="str">
        <f aca="false">IF(F213=0,"",_xlfn.MINIFS(Closed_Deals!$R$2:$R$761,Closed_Deals!$B$2:$B$761,A213,Closed_Deals!$N$2:$N$761,"Won"))</f>
        <v/>
      </c>
      <c r="L213" s="8" t="str">
        <f aca="false">IF(F213=0,"",_xlfn.MAXIFS(Closed_Deals!$R$2:$R$761,Closed_Deals!$B$2:$B$761,A213,Closed_Deals!$N$2:$N$761,"Won"))</f>
        <v/>
      </c>
      <c r="M213" s="7" t="n">
        <f aca="false">COUNTIF(Open_Pipeline!$B$2:$B$151,A213)</f>
        <v>1</v>
      </c>
      <c r="N213" s="10" t="n">
        <f aca="false">SUMIF(Open_Pipeline!$B$2:$B$151,A213,Open_Pipeline!$M$2:$M$151)</f>
        <v>42590.2</v>
      </c>
      <c r="O213" s="7" t="str">
        <f aca="true">IF(F213=0,"",TODAY()-L213)</f>
        <v/>
      </c>
      <c r="P213" s="7" t="str">
        <f aca="false">IF(F213&gt;=2,"Yes","No")</f>
        <v>No</v>
      </c>
      <c r="Q213" s="7" t="str">
        <f aca="false">IF(F213=0,"No Won Business",IF(M213&gt;0,"Active - In Pipeline",IF(O213&lt;=365,"Active",IF(O213&lt;=545,"At Risk","Churned"))))</f>
        <v>No Won Business</v>
      </c>
    </row>
    <row r="214" customFormat="false" ht="15" hidden="false" customHeight="false" outlineLevel="0" collapsed="false">
      <c r="A214" s="7" t="s">
        <v>1590</v>
      </c>
      <c r="B214" s="7" t="s">
        <v>1591</v>
      </c>
      <c r="C214" s="7" t="s">
        <v>151</v>
      </c>
      <c r="D214" s="7" t="s">
        <v>94</v>
      </c>
      <c r="E214" s="7" t="n">
        <f aca="false">COUNTIF(Closed_Deals!$B$2:$B$761,A214)</f>
        <v>0</v>
      </c>
      <c r="F214" s="7" t="n">
        <f aca="false">COUNTIFS(Closed_Deals!$B$2:$B$761,A214,Closed_Deals!$N$2:$N$761,"Won")</f>
        <v>0</v>
      </c>
      <c r="G214" s="7" t="n">
        <f aca="false">E214-F214</f>
        <v>0</v>
      </c>
      <c r="H214" s="11" t="str">
        <f aca="false">IFERROR(F214/E214,"")</f>
        <v/>
      </c>
      <c r="I214" s="10" t="n">
        <f aca="false">SUMIFS(Closed_Deals!$M$2:$M$761,Closed_Deals!$B$2:$B$761,A214,Closed_Deals!$N$2:$N$761,"Won")</f>
        <v>0</v>
      </c>
      <c r="J214" s="10" t="str">
        <f aca="false">IFERROR(I214/F214,"")</f>
        <v/>
      </c>
      <c r="K214" s="8" t="str">
        <f aca="false">IF(F214=0,"",_xlfn.MINIFS(Closed_Deals!$R$2:$R$761,Closed_Deals!$B$2:$B$761,A214,Closed_Deals!$N$2:$N$761,"Won"))</f>
        <v/>
      </c>
      <c r="L214" s="8" t="str">
        <f aca="false">IF(F214=0,"",_xlfn.MAXIFS(Closed_Deals!$R$2:$R$761,Closed_Deals!$B$2:$B$761,A214,Closed_Deals!$N$2:$N$761,"Won"))</f>
        <v/>
      </c>
      <c r="M214" s="7" t="n">
        <f aca="false">COUNTIF(Open_Pipeline!$B$2:$B$151,A214)</f>
        <v>0</v>
      </c>
      <c r="N214" s="10" t="n">
        <f aca="false">SUMIF(Open_Pipeline!$B$2:$B$151,A214,Open_Pipeline!$M$2:$M$151)</f>
        <v>0</v>
      </c>
      <c r="O214" s="7" t="str">
        <f aca="true">IF(F214=0,"",TODAY()-L214)</f>
        <v/>
      </c>
      <c r="P214" s="7" t="str">
        <f aca="false">IF(F214&gt;=2,"Yes","No")</f>
        <v>No</v>
      </c>
      <c r="Q214" s="7" t="str">
        <f aca="false">IF(F214=0,"No Won Business",IF(M214&gt;0,"Active - In Pipeline",IF(O214&lt;=365,"Active",IF(O214&lt;=545,"At Risk","Churned"))))</f>
        <v>No Won Business</v>
      </c>
    </row>
    <row r="215" customFormat="false" ht="15" hidden="false" customHeight="false" outlineLevel="0" collapsed="false">
      <c r="A215" s="7" t="s">
        <v>1592</v>
      </c>
      <c r="B215" s="7" t="s">
        <v>1593</v>
      </c>
      <c r="C215" s="7" t="s">
        <v>195</v>
      </c>
      <c r="D215" s="7" t="s">
        <v>105</v>
      </c>
      <c r="E215" s="7" t="n">
        <f aca="false">COUNTIF(Closed_Deals!$B$2:$B$761,A215)</f>
        <v>0</v>
      </c>
      <c r="F215" s="7" t="n">
        <f aca="false">COUNTIFS(Closed_Deals!$B$2:$B$761,A215,Closed_Deals!$N$2:$N$761,"Won")</f>
        <v>0</v>
      </c>
      <c r="G215" s="7" t="n">
        <f aca="false">E215-F215</f>
        <v>0</v>
      </c>
      <c r="H215" s="11" t="str">
        <f aca="false">IFERROR(F215/E215,"")</f>
        <v/>
      </c>
      <c r="I215" s="10" t="n">
        <f aca="false">SUMIFS(Closed_Deals!$M$2:$M$761,Closed_Deals!$B$2:$B$761,A215,Closed_Deals!$N$2:$N$761,"Won")</f>
        <v>0</v>
      </c>
      <c r="J215" s="10" t="str">
        <f aca="false">IFERROR(I215/F215,"")</f>
        <v/>
      </c>
      <c r="K215" s="8" t="str">
        <f aca="false">IF(F215=0,"",_xlfn.MINIFS(Closed_Deals!$R$2:$R$761,Closed_Deals!$B$2:$B$761,A215,Closed_Deals!$N$2:$N$761,"Won"))</f>
        <v/>
      </c>
      <c r="L215" s="8" t="str">
        <f aca="false">IF(F215=0,"",_xlfn.MAXIFS(Closed_Deals!$R$2:$R$761,Closed_Deals!$B$2:$B$761,A215,Closed_Deals!$N$2:$N$761,"Won"))</f>
        <v/>
      </c>
      <c r="M215" s="7" t="n">
        <f aca="false">COUNTIF(Open_Pipeline!$B$2:$B$151,A215)</f>
        <v>0</v>
      </c>
      <c r="N215" s="10" t="n">
        <f aca="false">SUMIF(Open_Pipeline!$B$2:$B$151,A215,Open_Pipeline!$M$2:$M$151)</f>
        <v>0</v>
      </c>
      <c r="O215" s="7" t="str">
        <f aca="true">IF(F215=0,"",TODAY()-L215)</f>
        <v/>
      </c>
      <c r="P215" s="7" t="str">
        <f aca="false">IF(F215&gt;=2,"Yes","No")</f>
        <v>No</v>
      </c>
      <c r="Q215" s="7" t="str">
        <f aca="false">IF(F215=0,"No Won Business",IF(M215&gt;0,"Active - In Pipeline",IF(O215&lt;=365,"Active",IF(O215&lt;=545,"At Risk","Churned"))))</f>
        <v>No Won Business</v>
      </c>
    </row>
    <row r="216" customFormat="false" ht="15" hidden="false" customHeight="false" outlineLevel="0" collapsed="false">
      <c r="A216" s="7" t="s">
        <v>1594</v>
      </c>
      <c r="B216" s="7" t="s">
        <v>1595</v>
      </c>
      <c r="C216" s="7" t="s">
        <v>135</v>
      </c>
      <c r="D216" s="7" t="s">
        <v>115</v>
      </c>
      <c r="E216" s="7" t="n">
        <f aca="false">COUNTIF(Closed_Deals!$B$2:$B$761,A216)</f>
        <v>0</v>
      </c>
      <c r="F216" s="7" t="n">
        <f aca="false">COUNTIFS(Closed_Deals!$B$2:$B$761,A216,Closed_Deals!$N$2:$N$761,"Won")</f>
        <v>0</v>
      </c>
      <c r="G216" s="7" t="n">
        <f aca="false">E216-F216</f>
        <v>0</v>
      </c>
      <c r="H216" s="11" t="str">
        <f aca="false">IFERROR(F216/E216,"")</f>
        <v/>
      </c>
      <c r="I216" s="10" t="n">
        <f aca="false">SUMIFS(Closed_Deals!$M$2:$M$761,Closed_Deals!$B$2:$B$761,A216,Closed_Deals!$N$2:$N$761,"Won")</f>
        <v>0</v>
      </c>
      <c r="J216" s="10" t="str">
        <f aca="false">IFERROR(I216/F216,"")</f>
        <v/>
      </c>
      <c r="K216" s="8" t="str">
        <f aca="false">IF(F216=0,"",_xlfn.MINIFS(Closed_Deals!$R$2:$R$761,Closed_Deals!$B$2:$B$761,A216,Closed_Deals!$N$2:$N$761,"Won"))</f>
        <v/>
      </c>
      <c r="L216" s="8" t="str">
        <f aca="false">IF(F216=0,"",_xlfn.MAXIFS(Closed_Deals!$R$2:$R$761,Closed_Deals!$B$2:$B$761,A216,Closed_Deals!$N$2:$N$761,"Won"))</f>
        <v/>
      </c>
      <c r="M216" s="7" t="n">
        <f aca="false">COUNTIF(Open_Pipeline!$B$2:$B$151,A216)</f>
        <v>0</v>
      </c>
      <c r="N216" s="10" t="n">
        <f aca="false">SUMIF(Open_Pipeline!$B$2:$B$151,A216,Open_Pipeline!$M$2:$M$151)</f>
        <v>0</v>
      </c>
      <c r="O216" s="7" t="str">
        <f aca="true">IF(F216=0,"",TODAY()-L216)</f>
        <v/>
      </c>
      <c r="P216" s="7" t="str">
        <f aca="false">IF(F216&gt;=2,"Yes","No")</f>
        <v>No</v>
      </c>
      <c r="Q216" s="7" t="str">
        <f aca="false">IF(F216=0,"No Won Business",IF(M216&gt;0,"Active - In Pipeline",IF(O216&lt;=365,"Active",IF(O216&lt;=545,"At Risk","Churned"))))</f>
        <v>No Won Business</v>
      </c>
    </row>
    <row r="217" customFormat="false" ht="15" hidden="false" customHeight="false" outlineLevel="0" collapsed="false">
      <c r="A217" s="7" t="s">
        <v>1596</v>
      </c>
      <c r="B217" s="7" t="s">
        <v>1597</v>
      </c>
      <c r="C217" s="7" t="s">
        <v>201</v>
      </c>
      <c r="D217" s="7" t="s">
        <v>115</v>
      </c>
      <c r="E217" s="7" t="n">
        <f aca="false">COUNTIF(Closed_Deals!$B$2:$B$761,A217)</f>
        <v>0</v>
      </c>
      <c r="F217" s="7" t="n">
        <f aca="false">COUNTIFS(Closed_Deals!$B$2:$B$761,A217,Closed_Deals!$N$2:$N$761,"Won")</f>
        <v>0</v>
      </c>
      <c r="G217" s="7" t="n">
        <f aca="false">E217-F217</f>
        <v>0</v>
      </c>
      <c r="H217" s="11" t="str">
        <f aca="false">IFERROR(F217/E217,"")</f>
        <v/>
      </c>
      <c r="I217" s="10" t="n">
        <f aca="false">SUMIFS(Closed_Deals!$M$2:$M$761,Closed_Deals!$B$2:$B$761,A217,Closed_Deals!$N$2:$N$761,"Won")</f>
        <v>0</v>
      </c>
      <c r="J217" s="10" t="str">
        <f aca="false">IFERROR(I217/F217,"")</f>
        <v/>
      </c>
      <c r="K217" s="8" t="str">
        <f aca="false">IF(F217=0,"",_xlfn.MINIFS(Closed_Deals!$R$2:$R$761,Closed_Deals!$B$2:$B$761,A217,Closed_Deals!$N$2:$N$761,"Won"))</f>
        <v/>
      </c>
      <c r="L217" s="8" t="str">
        <f aca="false">IF(F217=0,"",_xlfn.MAXIFS(Closed_Deals!$R$2:$R$761,Closed_Deals!$B$2:$B$761,A217,Closed_Deals!$N$2:$N$761,"Won"))</f>
        <v/>
      </c>
      <c r="M217" s="7" t="n">
        <f aca="false">COUNTIF(Open_Pipeline!$B$2:$B$151,A217)</f>
        <v>0</v>
      </c>
      <c r="N217" s="10" t="n">
        <f aca="false">SUMIF(Open_Pipeline!$B$2:$B$151,A217,Open_Pipeline!$M$2:$M$151)</f>
        <v>0</v>
      </c>
      <c r="O217" s="7" t="str">
        <f aca="true">IF(F217=0,"",TODAY()-L217)</f>
        <v/>
      </c>
      <c r="P217" s="7" t="str">
        <f aca="false">IF(F217&gt;=2,"Yes","No")</f>
        <v>No</v>
      </c>
      <c r="Q217" s="7" t="str">
        <f aca="false">IF(F217=0,"No Won Business",IF(M217&gt;0,"Active - In Pipeline",IF(O217&lt;=365,"Active",IF(O217&lt;=545,"At Risk","Churned"))))</f>
        <v>No Won Business</v>
      </c>
    </row>
    <row r="218" customFormat="false" ht="15" hidden="false" customHeight="false" outlineLevel="0" collapsed="false">
      <c r="A218" s="7" t="s">
        <v>1598</v>
      </c>
      <c r="B218" s="7" t="s">
        <v>1599</v>
      </c>
      <c r="C218" s="7" t="s">
        <v>104</v>
      </c>
      <c r="D218" s="7" t="s">
        <v>105</v>
      </c>
      <c r="E218" s="7" t="n">
        <f aca="false">COUNTIF(Closed_Deals!$B$2:$B$761,A218)</f>
        <v>0</v>
      </c>
      <c r="F218" s="7" t="n">
        <f aca="false">COUNTIFS(Closed_Deals!$B$2:$B$761,A218,Closed_Deals!$N$2:$N$761,"Won")</f>
        <v>0</v>
      </c>
      <c r="G218" s="7" t="n">
        <f aca="false">E218-F218</f>
        <v>0</v>
      </c>
      <c r="H218" s="11" t="str">
        <f aca="false">IFERROR(F218/E218,"")</f>
        <v/>
      </c>
      <c r="I218" s="10" t="n">
        <f aca="false">SUMIFS(Closed_Deals!$M$2:$M$761,Closed_Deals!$B$2:$B$761,A218,Closed_Deals!$N$2:$N$761,"Won")</f>
        <v>0</v>
      </c>
      <c r="J218" s="10" t="str">
        <f aca="false">IFERROR(I218/F218,"")</f>
        <v/>
      </c>
      <c r="K218" s="8" t="str">
        <f aca="false">IF(F218=0,"",_xlfn.MINIFS(Closed_Deals!$R$2:$R$761,Closed_Deals!$B$2:$B$761,A218,Closed_Deals!$N$2:$N$761,"Won"))</f>
        <v/>
      </c>
      <c r="L218" s="8" t="str">
        <f aca="false">IF(F218=0,"",_xlfn.MAXIFS(Closed_Deals!$R$2:$R$761,Closed_Deals!$B$2:$B$761,A218,Closed_Deals!$N$2:$N$761,"Won"))</f>
        <v/>
      </c>
      <c r="M218" s="7" t="n">
        <f aca="false">COUNTIF(Open_Pipeline!$B$2:$B$151,A218)</f>
        <v>0</v>
      </c>
      <c r="N218" s="10" t="n">
        <f aca="false">SUMIF(Open_Pipeline!$B$2:$B$151,A218,Open_Pipeline!$M$2:$M$151)</f>
        <v>0</v>
      </c>
      <c r="O218" s="7" t="str">
        <f aca="true">IF(F218=0,"",TODAY()-L218)</f>
        <v/>
      </c>
      <c r="P218" s="7" t="str">
        <f aca="false">IF(F218&gt;=2,"Yes","No")</f>
        <v>No</v>
      </c>
      <c r="Q218" s="7" t="str">
        <f aca="false">IF(F218=0,"No Won Business",IF(M218&gt;0,"Active - In Pipeline",IF(O218&lt;=365,"Active",IF(O218&lt;=545,"At Risk","Churned"))))</f>
        <v>No Won Business</v>
      </c>
    </row>
    <row r="219" customFormat="false" ht="15" hidden="false" customHeight="false" outlineLevel="0" collapsed="false">
      <c r="A219" s="7" t="s">
        <v>1600</v>
      </c>
      <c r="B219" s="7" t="s">
        <v>1601</v>
      </c>
      <c r="C219" s="7" t="s">
        <v>93</v>
      </c>
      <c r="D219" s="7" t="s">
        <v>115</v>
      </c>
      <c r="E219" s="7" t="n">
        <f aca="false">COUNTIF(Closed_Deals!$B$2:$B$761,A219)</f>
        <v>0</v>
      </c>
      <c r="F219" s="7" t="n">
        <f aca="false">COUNTIFS(Closed_Deals!$B$2:$B$761,A219,Closed_Deals!$N$2:$N$761,"Won")</f>
        <v>0</v>
      </c>
      <c r="G219" s="7" t="n">
        <f aca="false">E219-F219</f>
        <v>0</v>
      </c>
      <c r="H219" s="11" t="str">
        <f aca="false">IFERROR(F219/E219,"")</f>
        <v/>
      </c>
      <c r="I219" s="10" t="n">
        <f aca="false">SUMIFS(Closed_Deals!$M$2:$M$761,Closed_Deals!$B$2:$B$761,A219,Closed_Deals!$N$2:$N$761,"Won")</f>
        <v>0</v>
      </c>
      <c r="J219" s="10" t="str">
        <f aca="false">IFERROR(I219/F219,"")</f>
        <v/>
      </c>
      <c r="K219" s="8" t="str">
        <f aca="false">IF(F219=0,"",_xlfn.MINIFS(Closed_Deals!$R$2:$R$761,Closed_Deals!$B$2:$B$761,A219,Closed_Deals!$N$2:$N$761,"Won"))</f>
        <v/>
      </c>
      <c r="L219" s="8" t="str">
        <f aca="false">IF(F219=0,"",_xlfn.MAXIFS(Closed_Deals!$R$2:$R$761,Closed_Deals!$B$2:$B$761,A219,Closed_Deals!$N$2:$N$761,"Won"))</f>
        <v/>
      </c>
      <c r="M219" s="7" t="n">
        <f aca="false">COUNTIF(Open_Pipeline!$B$2:$B$151,A219)</f>
        <v>0</v>
      </c>
      <c r="N219" s="10" t="n">
        <f aca="false">SUMIF(Open_Pipeline!$B$2:$B$151,A219,Open_Pipeline!$M$2:$M$151)</f>
        <v>0</v>
      </c>
      <c r="O219" s="7" t="str">
        <f aca="true">IF(F219=0,"",TODAY()-L219)</f>
        <v/>
      </c>
      <c r="P219" s="7" t="str">
        <f aca="false">IF(F219&gt;=2,"Yes","No")</f>
        <v>No</v>
      </c>
      <c r="Q219" s="7" t="str">
        <f aca="false">IF(F219=0,"No Won Business",IF(M219&gt;0,"Active - In Pipeline",IF(O219&lt;=365,"Active",IF(O219&lt;=545,"At Risk","Churned"))))</f>
        <v>No Won Business</v>
      </c>
    </row>
    <row r="220" customFormat="false" ht="15" hidden="false" customHeight="false" outlineLevel="0" collapsed="false">
      <c r="A220" s="7" t="s">
        <v>1602</v>
      </c>
      <c r="B220" s="7" t="s">
        <v>1603</v>
      </c>
      <c r="C220" s="7" t="s">
        <v>104</v>
      </c>
      <c r="D220" s="7" t="s">
        <v>94</v>
      </c>
      <c r="E220" s="7" t="n">
        <f aca="false">COUNTIF(Closed_Deals!$B$2:$B$761,A220)</f>
        <v>0</v>
      </c>
      <c r="F220" s="7" t="n">
        <f aca="false">COUNTIFS(Closed_Deals!$B$2:$B$761,A220,Closed_Deals!$N$2:$N$761,"Won")</f>
        <v>0</v>
      </c>
      <c r="G220" s="7" t="n">
        <f aca="false">E220-F220</f>
        <v>0</v>
      </c>
      <c r="H220" s="11" t="str">
        <f aca="false">IFERROR(F220/E220,"")</f>
        <v/>
      </c>
      <c r="I220" s="10" t="n">
        <f aca="false">SUMIFS(Closed_Deals!$M$2:$M$761,Closed_Deals!$B$2:$B$761,A220,Closed_Deals!$N$2:$N$761,"Won")</f>
        <v>0</v>
      </c>
      <c r="J220" s="10" t="str">
        <f aca="false">IFERROR(I220/F220,"")</f>
        <v/>
      </c>
      <c r="K220" s="8" t="str">
        <f aca="false">IF(F220=0,"",_xlfn.MINIFS(Closed_Deals!$R$2:$R$761,Closed_Deals!$B$2:$B$761,A220,Closed_Deals!$N$2:$N$761,"Won"))</f>
        <v/>
      </c>
      <c r="L220" s="8" t="str">
        <f aca="false">IF(F220=0,"",_xlfn.MAXIFS(Closed_Deals!$R$2:$R$761,Closed_Deals!$B$2:$B$761,A220,Closed_Deals!$N$2:$N$761,"Won"))</f>
        <v/>
      </c>
      <c r="M220" s="7" t="n">
        <f aca="false">COUNTIF(Open_Pipeline!$B$2:$B$151,A220)</f>
        <v>0</v>
      </c>
      <c r="N220" s="10" t="n">
        <f aca="false">SUMIF(Open_Pipeline!$B$2:$B$151,A220,Open_Pipeline!$M$2:$M$151)</f>
        <v>0</v>
      </c>
      <c r="O220" s="7" t="str">
        <f aca="true">IF(F220=0,"",TODAY()-L220)</f>
        <v/>
      </c>
      <c r="P220" s="7" t="str">
        <f aca="false">IF(F220&gt;=2,"Yes","No")</f>
        <v>No</v>
      </c>
      <c r="Q220" s="7" t="str">
        <f aca="false">IF(F220=0,"No Won Business",IF(M220&gt;0,"Active - In Pipeline",IF(O220&lt;=365,"Active",IF(O220&lt;=545,"At Risk","Churned"))))</f>
        <v>No Won Business</v>
      </c>
    </row>
    <row r="221" customFormat="false" ht="15" hidden="false" customHeight="false" outlineLevel="0" collapsed="false">
      <c r="A221" s="7" t="s">
        <v>585</v>
      </c>
      <c r="B221" s="7" t="s">
        <v>586</v>
      </c>
      <c r="C221" s="7" t="s">
        <v>242</v>
      </c>
      <c r="D221" s="7" t="s">
        <v>115</v>
      </c>
      <c r="E221" s="7" t="n">
        <f aca="false">COUNTIF(Closed_Deals!$B$2:$B$761,A221)</f>
        <v>1</v>
      </c>
      <c r="F221" s="7" t="n">
        <f aca="false">COUNTIFS(Closed_Deals!$B$2:$B$761,A221,Closed_Deals!$N$2:$N$761,"Won")</f>
        <v>1</v>
      </c>
      <c r="G221" s="7" t="n">
        <f aca="false">E221-F221</f>
        <v>0</v>
      </c>
      <c r="H221" s="11" t="n">
        <f aca="false">IFERROR(F221/E221,"")</f>
        <v>1</v>
      </c>
      <c r="I221" s="10" t="n">
        <f aca="false">SUMIFS(Closed_Deals!$M$2:$M$761,Closed_Deals!$B$2:$B$761,A221,Closed_Deals!$N$2:$N$761,"Won")</f>
        <v>44875.69</v>
      </c>
      <c r="J221" s="10" t="n">
        <f aca="false">IFERROR(I221/F221,"")</f>
        <v>44875.69</v>
      </c>
      <c r="K221" s="8" t="n">
        <f aca="false">IF(F221=0,"",_xlfn.MINIFS(Closed_Deals!$R$2:$R$761,Closed_Deals!$B$2:$B$761,A221,Closed_Deals!$N$2:$N$761,"Won"))</f>
        <v>45677</v>
      </c>
      <c r="L221" s="8" t="n">
        <f aca="false">IF(F221=0,"",_xlfn.MAXIFS(Closed_Deals!$R$2:$R$761,Closed_Deals!$B$2:$B$761,A221,Closed_Deals!$N$2:$N$761,"Won"))</f>
        <v>45677</v>
      </c>
      <c r="M221" s="7" t="n">
        <f aca="false">COUNTIF(Open_Pipeline!$B$2:$B$151,A221)</f>
        <v>0</v>
      </c>
      <c r="N221" s="10" t="n">
        <f aca="false">SUMIF(Open_Pipeline!$B$2:$B$151,A221,Open_Pipeline!$M$2:$M$151)</f>
        <v>0</v>
      </c>
      <c r="O221" s="7" t="n">
        <f aca="true">IF(F221=0,"",TODAY()-L221)</f>
        <v>597</v>
      </c>
      <c r="P221" s="7" t="str">
        <f aca="false">IF(F221&gt;=2,"Yes","No")</f>
        <v>No</v>
      </c>
      <c r="Q221" s="7" t="str">
        <f aca="false">IF(F221=0,"No Won Business",IF(M221&gt;0,"Active - In Pipeline",IF(O221&lt;=365,"Active",IF(O221&lt;=545,"At Risk","Churned"))))</f>
        <v>Churned</v>
      </c>
    </row>
    <row r="222" customFormat="false" ht="15" hidden="false" customHeight="false" outlineLevel="0" collapsed="false">
      <c r="A222" s="7" t="s">
        <v>657</v>
      </c>
      <c r="B222" s="7" t="s">
        <v>658</v>
      </c>
      <c r="C222" s="7" t="s">
        <v>104</v>
      </c>
      <c r="D222" s="7" t="s">
        <v>94</v>
      </c>
      <c r="E222" s="7" t="n">
        <f aca="false">COUNTIF(Closed_Deals!$B$2:$B$761,A222)</f>
        <v>3</v>
      </c>
      <c r="F222" s="7" t="n">
        <f aca="false">COUNTIFS(Closed_Deals!$B$2:$B$761,A222,Closed_Deals!$N$2:$N$761,"Won")</f>
        <v>2</v>
      </c>
      <c r="G222" s="7" t="n">
        <f aca="false">E222-F222</f>
        <v>1</v>
      </c>
      <c r="H222" s="11" t="n">
        <f aca="false">IFERROR(F222/E222,"")</f>
        <v>0.666666666666667</v>
      </c>
      <c r="I222" s="10" t="n">
        <f aca="false">SUMIFS(Closed_Deals!$M$2:$M$761,Closed_Deals!$B$2:$B$761,A222,Closed_Deals!$N$2:$N$761,"Won")</f>
        <v>135806.47</v>
      </c>
      <c r="J222" s="10" t="n">
        <f aca="false">IFERROR(I222/F222,"")</f>
        <v>67903.235</v>
      </c>
      <c r="K222" s="8" t="n">
        <f aca="false">IF(F222=0,"",_xlfn.MINIFS(Closed_Deals!$R$2:$R$761,Closed_Deals!$B$2:$B$761,A222,Closed_Deals!$N$2:$N$761,"Won"))</f>
        <v>45934</v>
      </c>
      <c r="L222" s="8" t="n">
        <f aca="false">IF(F222=0,"",_xlfn.MAXIFS(Closed_Deals!$R$2:$R$761,Closed_Deals!$B$2:$B$761,A222,Closed_Deals!$N$2:$N$761,"Won"))</f>
        <v>46002</v>
      </c>
      <c r="M222" s="7" t="n">
        <f aca="false">COUNTIF(Open_Pipeline!$B$2:$B$151,A222)</f>
        <v>0</v>
      </c>
      <c r="N222" s="10" t="n">
        <f aca="false">SUMIF(Open_Pipeline!$B$2:$B$151,A222,Open_Pipeline!$M$2:$M$151)</f>
        <v>0</v>
      </c>
      <c r="O222" s="7" t="n">
        <f aca="true">IF(F222=0,"",TODAY()-L222)</f>
        <v>272</v>
      </c>
      <c r="P222" s="7" t="str">
        <f aca="false">IF(F222&gt;=2,"Yes","No")</f>
        <v>Yes</v>
      </c>
      <c r="Q222" s="7" t="str">
        <f aca="false">IF(F222=0,"No Won Business",IF(M222&gt;0,"Active - In Pipeline",IF(O222&lt;=365,"Active",IF(O222&lt;=545,"At Risk","Churned"))))</f>
        <v>Active</v>
      </c>
    </row>
    <row r="223" customFormat="false" ht="15" hidden="false" customHeight="false" outlineLevel="0" collapsed="false">
      <c r="A223" s="7" t="s">
        <v>780</v>
      </c>
      <c r="B223" s="7" t="s">
        <v>781</v>
      </c>
      <c r="C223" s="7" t="s">
        <v>114</v>
      </c>
      <c r="D223" s="7" t="s">
        <v>105</v>
      </c>
      <c r="E223" s="7" t="n">
        <f aca="false">COUNTIF(Closed_Deals!$B$2:$B$761,A223)</f>
        <v>4</v>
      </c>
      <c r="F223" s="7" t="n">
        <f aca="false">COUNTIFS(Closed_Deals!$B$2:$B$761,A223,Closed_Deals!$N$2:$N$761,"Won")</f>
        <v>2</v>
      </c>
      <c r="G223" s="7" t="n">
        <f aca="false">E223-F223</f>
        <v>2</v>
      </c>
      <c r="H223" s="11" t="n">
        <f aca="false">IFERROR(F223/E223,"")</f>
        <v>0.5</v>
      </c>
      <c r="I223" s="10" t="n">
        <f aca="false">SUMIFS(Closed_Deals!$M$2:$M$761,Closed_Deals!$B$2:$B$761,A223,Closed_Deals!$N$2:$N$761,"Won")</f>
        <v>321352.93</v>
      </c>
      <c r="J223" s="10" t="n">
        <f aca="false">IFERROR(I223/F223,"")</f>
        <v>160676.465</v>
      </c>
      <c r="K223" s="8" t="n">
        <f aca="false">IF(F223=0,"",_xlfn.MINIFS(Closed_Deals!$R$2:$R$761,Closed_Deals!$B$2:$B$761,A223,Closed_Deals!$N$2:$N$761,"Won"))</f>
        <v>45936</v>
      </c>
      <c r="L223" s="8" t="n">
        <f aca="false">IF(F223=0,"",_xlfn.MAXIFS(Closed_Deals!$R$2:$R$761,Closed_Deals!$B$2:$B$761,A223,Closed_Deals!$N$2:$N$761,"Won"))</f>
        <v>46038</v>
      </c>
      <c r="M223" s="7" t="n">
        <f aca="false">COUNTIF(Open_Pipeline!$B$2:$B$151,A223)</f>
        <v>2</v>
      </c>
      <c r="N223" s="10" t="n">
        <f aca="false">SUMIF(Open_Pipeline!$B$2:$B$151,A223,Open_Pipeline!$M$2:$M$151)</f>
        <v>159007.51</v>
      </c>
      <c r="O223" s="7" t="n">
        <f aca="true">IF(F223=0,"",TODAY()-L223)</f>
        <v>236</v>
      </c>
      <c r="P223" s="7" t="str">
        <f aca="false">IF(F223&gt;=2,"Yes","No")</f>
        <v>Yes</v>
      </c>
      <c r="Q223" s="7" t="str">
        <f aca="false">IF(F223=0,"No Won Business",IF(M223&gt;0,"Active - In Pipeline",IF(O223&lt;=365,"Active",IF(O223&lt;=545,"At Risk","Churned"))))</f>
        <v>Active - In Pipeline</v>
      </c>
    </row>
    <row r="224" customFormat="false" ht="15" hidden="false" customHeight="false" outlineLevel="0" collapsed="false">
      <c r="A224" s="7" t="s">
        <v>253</v>
      </c>
      <c r="B224" s="7" t="s">
        <v>254</v>
      </c>
      <c r="C224" s="7" t="s">
        <v>242</v>
      </c>
      <c r="D224" s="7" t="s">
        <v>105</v>
      </c>
      <c r="E224" s="7" t="n">
        <f aca="false">COUNTIF(Closed_Deals!$B$2:$B$761,A224)</f>
        <v>7</v>
      </c>
      <c r="F224" s="7" t="n">
        <f aca="false">COUNTIFS(Closed_Deals!$B$2:$B$761,A224,Closed_Deals!$N$2:$N$761,"Won")</f>
        <v>2</v>
      </c>
      <c r="G224" s="7" t="n">
        <f aca="false">E224-F224</f>
        <v>5</v>
      </c>
      <c r="H224" s="11" t="n">
        <f aca="false">IFERROR(F224/E224,"")</f>
        <v>0.285714285714286</v>
      </c>
      <c r="I224" s="10" t="n">
        <f aca="false">SUMIFS(Closed_Deals!$M$2:$M$761,Closed_Deals!$B$2:$B$761,A224,Closed_Deals!$N$2:$N$761,"Won")</f>
        <v>401144.63</v>
      </c>
      <c r="J224" s="10" t="n">
        <f aca="false">IFERROR(I224/F224,"")</f>
        <v>200572.315</v>
      </c>
      <c r="K224" s="8" t="n">
        <f aca="false">IF(F224=0,"",_xlfn.MINIFS(Closed_Deals!$R$2:$R$761,Closed_Deals!$B$2:$B$761,A224,Closed_Deals!$N$2:$N$761,"Won"))</f>
        <v>45554</v>
      </c>
      <c r="L224" s="8" t="n">
        <f aca="false">IF(F224=0,"",_xlfn.MAXIFS(Closed_Deals!$R$2:$R$761,Closed_Deals!$B$2:$B$761,A224,Closed_Deals!$N$2:$N$761,"Won"))</f>
        <v>45923</v>
      </c>
      <c r="M224" s="7" t="n">
        <f aca="false">COUNTIF(Open_Pipeline!$B$2:$B$151,A224)</f>
        <v>1</v>
      </c>
      <c r="N224" s="10" t="n">
        <f aca="false">SUMIF(Open_Pipeline!$B$2:$B$151,A224,Open_Pipeline!$M$2:$M$151)</f>
        <v>106255.02</v>
      </c>
      <c r="O224" s="7" t="n">
        <f aca="true">IF(F224=0,"",TODAY()-L224)</f>
        <v>351</v>
      </c>
      <c r="P224" s="7" t="str">
        <f aca="false">IF(F224&gt;=2,"Yes","No")</f>
        <v>Yes</v>
      </c>
      <c r="Q224" s="7" t="str">
        <f aca="false">IF(F224=0,"No Won Business",IF(M224&gt;0,"Active - In Pipeline",IF(O224&lt;=365,"Active",IF(O224&lt;=545,"At Risk","Churned"))))</f>
        <v>Active - In Pipeline</v>
      </c>
    </row>
    <row r="225" customFormat="false" ht="15" hidden="false" customHeight="false" outlineLevel="0" collapsed="false">
      <c r="A225" s="7" t="s">
        <v>1002</v>
      </c>
      <c r="B225" s="7" t="s">
        <v>1003</v>
      </c>
      <c r="C225" s="7" t="s">
        <v>104</v>
      </c>
      <c r="D225" s="7" t="s">
        <v>115</v>
      </c>
      <c r="E225" s="7" t="n">
        <f aca="false">COUNTIF(Closed_Deals!$B$2:$B$761,A225)</f>
        <v>2</v>
      </c>
      <c r="F225" s="7" t="n">
        <f aca="false">COUNTIFS(Closed_Deals!$B$2:$B$761,A225,Closed_Deals!$N$2:$N$761,"Won")</f>
        <v>0</v>
      </c>
      <c r="G225" s="7" t="n">
        <f aca="false">E225-F225</f>
        <v>2</v>
      </c>
      <c r="H225" s="11" t="n">
        <f aca="false">IFERROR(F225/E225,"")</f>
        <v>0</v>
      </c>
      <c r="I225" s="10" t="n">
        <f aca="false">SUMIFS(Closed_Deals!$M$2:$M$761,Closed_Deals!$B$2:$B$761,A225,Closed_Deals!$N$2:$N$761,"Won")</f>
        <v>0</v>
      </c>
      <c r="J225" s="10" t="str">
        <f aca="false">IFERROR(I225/F225,"")</f>
        <v/>
      </c>
      <c r="K225" s="8" t="str">
        <f aca="false">IF(F225=0,"",_xlfn.MINIFS(Closed_Deals!$R$2:$R$761,Closed_Deals!$B$2:$B$761,A225,Closed_Deals!$N$2:$N$761,"Won"))</f>
        <v/>
      </c>
      <c r="L225" s="8" t="str">
        <f aca="false">IF(F225=0,"",_xlfn.MAXIFS(Closed_Deals!$R$2:$R$761,Closed_Deals!$B$2:$B$761,A225,Closed_Deals!$N$2:$N$761,"Won"))</f>
        <v/>
      </c>
      <c r="M225" s="7" t="n">
        <f aca="false">COUNTIF(Open_Pipeline!$B$2:$B$151,A225)</f>
        <v>0</v>
      </c>
      <c r="N225" s="10" t="n">
        <f aca="false">SUMIF(Open_Pipeline!$B$2:$B$151,A225,Open_Pipeline!$M$2:$M$151)</f>
        <v>0</v>
      </c>
      <c r="O225" s="7" t="str">
        <f aca="true">IF(F225=0,"",TODAY()-L225)</f>
        <v/>
      </c>
      <c r="P225" s="7" t="str">
        <f aca="false">IF(F225&gt;=2,"Yes","No")</f>
        <v>No</v>
      </c>
      <c r="Q225" s="7" t="str">
        <f aca="false">IF(F225=0,"No Won Business",IF(M225&gt;0,"Active - In Pipeline",IF(O225&lt;=365,"Active",IF(O225&lt;=545,"At Risk","Churned"))))</f>
        <v>No Won Business</v>
      </c>
    </row>
    <row r="226" customFormat="false" ht="15" hidden="false" customHeight="false" outlineLevel="0" collapsed="false">
      <c r="A226" s="7" t="s">
        <v>372</v>
      </c>
      <c r="B226" s="7" t="s">
        <v>373</v>
      </c>
      <c r="C226" s="7" t="s">
        <v>242</v>
      </c>
      <c r="D226" s="7" t="s">
        <v>105</v>
      </c>
      <c r="E226" s="7" t="n">
        <f aca="false">COUNTIF(Closed_Deals!$B$2:$B$761,A226)</f>
        <v>5</v>
      </c>
      <c r="F226" s="7" t="n">
        <f aca="false">COUNTIFS(Closed_Deals!$B$2:$B$761,A226,Closed_Deals!$N$2:$N$761,"Won")</f>
        <v>2</v>
      </c>
      <c r="G226" s="7" t="n">
        <f aca="false">E226-F226</f>
        <v>3</v>
      </c>
      <c r="H226" s="11" t="n">
        <f aca="false">IFERROR(F226/E226,"")</f>
        <v>0.4</v>
      </c>
      <c r="I226" s="10" t="n">
        <f aca="false">SUMIFS(Closed_Deals!$M$2:$M$761,Closed_Deals!$B$2:$B$761,A226,Closed_Deals!$N$2:$N$761,"Won")</f>
        <v>238741.25</v>
      </c>
      <c r="J226" s="10" t="n">
        <f aca="false">IFERROR(I226/F226,"")</f>
        <v>119370.625</v>
      </c>
      <c r="K226" s="8" t="n">
        <f aca="false">IF(F226=0,"",_xlfn.MINIFS(Closed_Deals!$R$2:$R$761,Closed_Deals!$B$2:$B$761,A226,Closed_Deals!$N$2:$N$761,"Won"))</f>
        <v>45985</v>
      </c>
      <c r="L226" s="8" t="n">
        <f aca="false">IF(F226=0,"",_xlfn.MAXIFS(Closed_Deals!$R$2:$R$761,Closed_Deals!$B$2:$B$761,A226,Closed_Deals!$N$2:$N$761,"Won"))</f>
        <v>46154</v>
      </c>
      <c r="M226" s="7" t="n">
        <f aca="false">COUNTIF(Open_Pipeline!$B$2:$B$151,A226)</f>
        <v>0</v>
      </c>
      <c r="N226" s="10" t="n">
        <f aca="false">SUMIF(Open_Pipeline!$B$2:$B$151,A226,Open_Pipeline!$M$2:$M$151)</f>
        <v>0</v>
      </c>
      <c r="O226" s="7" t="n">
        <f aca="true">IF(F226=0,"",TODAY()-L226)</f>
        <v>120</v>
      </c>
      <c r="P226" s="7" t="str">
        <f aca="false">IF(F226&gt;=2,"Yes","No")</f>
        <v>Yes</v>
      </c>
      <c r="Q226" s="7" t="str">
        <f aca="false">IF(F226=0,"No Won Business",IF(M226&gt;0,"Active - In Pipeline",IF(O226&lt;=365,"Active",IF(O226&lt;=545,"At Risk","Churned"))))</f>
        <v>Active</v>
      </c>
    </row>
    <row r="227" customFormat="false" ht="15" hidden="false" customHeight="false" outlineLevel="0" collapsed="false">
      <c r="A227" s="7" t="s">
        <v>1604</v>
      </c>
      <c r="B227" s="7" t="s">
        <v>1605</v>
      </c>
      <c r="C227" s="7" t="s">
        <v>151</v>
      </c>
      <c r="D227" s="7" t="s">
        <v>105</v>
      </c>
      <c r="E227" s="7" t="n">
        <f aca="false">COUNTIF(Closed_Deals!$B$2:$B$761,A227)</f>
        <v>0</v>
      </c>
      <c r="F227" s="7" t="n">
        <f aca="false">COUNTIFS(Closed_Deals!$B$2:$B$761,A227,Closed_Deals!$N$2:$N$761,"Won")</f>
        <v>0</v>
      </c>
      <c r="G227" s="7" t="n">
        <f aca="false">E227-F227</f>
        <v>0</v>
      </c>
      <c r="H227" s="11" t="str">
        <f aca="false">IFERROR(F227/E227,"")</f>
        <v/>
      </c>
      <c r="I227" s="10" t="n">
        <f aca="false">SUMIFS(Closed_Deals!$M$2:$M$761,Closed_Deals!$B$2:$B$761,A227,Closed_Deals!$N$2:$N$761,"Won")</f>
        <v>0</v>
      </c>
      <c r="J227" s="10" t="str">
        <f aca="false">IFERROR(I227/F227,"")</f>
        <v/>
      </c>
      <c r="K227" s="8" t="str">
        <f aca="false">IF(F227=0,"",_xlfn.MINIFS(Closed_Deals!$R$2:$R$761,Closed_Deals!$B$2:$B$761,A227,Closed_Deals!$N$2:$N$761,"Won"))</f>
        <v/>
      </c>
      <c r="L227" s="8" t="str">
        <f aca="false">IF(F227=0,"",_xlfn.MAXIFS(Closed_Deals!$R$2:$R$761,Closed_Deals!$B$2:$B$761,A227,Closed_Deals!$N$2:$N$761,"Won"))</f>
        <v/>
      </c>
      <c r="M227" s="7" t="n">
        <f aca="false">COUNTIF(Open_Pipeline!$B$2:$B$151,A227)</f>
        <v>0</v>
      </c>
      <c r="N227" s="10" t="n">
        <f aca="false">SUMIF(Open_Pipeline!$B$2:$B$151,A227,Open_Pipeline!$M$2:$M$151)</f>
        <v>0</v>
      </c>
      <c r="O227" s="7" t="str">
        <f aca="true">IF(F227=0,"",TODAY()-L227)</f>
        <v/>
      </c>
      <c r="P227" s="7" t="str">
        <f aca="false">IF(F227&gt;=2,"Yes","No")</f>
        <v>No</v>
      </c>
      <c r="Q227" s="7" t="str">
        <f aca="false">IF(F227=0,"No Won Business",IF(M227&gt;0,"Active - In Pipeline",IF(O227&lt;=365,"Active",IF(O227&lt;=545,"At Risk","Churned"))))</f>
        <v>No Won Business</v>
      </c>
    </row>
    <row r="228" customFormat="false" ht="15" hidden="false" customHeight="false" outlineLevel="0" collapsed="false">
      <c r="A228" s="7" t="s">
        <v>1606</v>
      </c>
      <c r="B228" s="7" t="s">
        <v>1607</v>
      </c>
      <c r="C228" s="7" t="s">
        <v>201</v>
      </c>
      <c r="D228" s="7" t="s">
        <v>162</v>
      </c>
      <c r="E228" s="7" t="n">
        <f aca="false">COUNTIF(Closed_Deals!$B$2:$B$761,A228)</f>
        <v>0</v>
      </c>
      <c r="F228" s="7" t="n">
        <f aca="false">COUNTIFS(Closed_Deals!$B$2:$B$761,A228,Closed_Deals!$N$2:$N$761,"Won")</f>
        <v>0</v>
      </c>
      <c r="G228" s="7" t="n">
        <f aca="false">E228-F228</f>
        <v>0</v>
      </c>
      <c r="H228" s="11" t="str">
        <f aca="false">IFERROR(F228/E228,"")</f>
        <v/>
      </c>
      <c r="I228" s="10" t="n">
        <f aca="false">SUMIFS(Closed_Deals!$M$2:$M$761,Closed_Deals!$B$2:$B$761,A228,Closed_Deals!$N$2:$N$761,"Won")</f>
        <v>0</v>
      </c>
      <c r="J228" s="10" t="str">
        <f aca="false">IFERROR(I228/F228,"")</f>
        <v/>
      </c>
      <c r="K228" s="8" t="str">
        <f aca="false">IF(F228=0,"",_xlfn.MINIFS(Closed_Deals!$R$2:$R$761,Closed_Deals!$B$2:$B$761,A228,Closed_Deals!$N$2:$N$761,"Won"))</f>
        <v/>
      </c>
      <c r="L228" s="8" t="str">
        <f aca="false">IF(F228=0,"",_xlfn.MAXIFS(Closed_Deals!$R$2:$R$761,Closed_Deals!$B$2:$B$761,A228,Closed_Deals!$N$2:$N$761,"Won"))</f>
        <v/>
      </c>
      <c r="M228" s="7" t="n">
        <f aca="false">COUNTIF(Open_Pipeline!$B$2:$B$151,A228)</f>
        <v>0</v>
      </c>
      <c r="N228" s="10" t="n">
        <f aca="false">SUMIF(Open_Pipeline!$B$2:$B$151,A228,Open_Pipeline!$M$2:$M$151)</f>
        <v>0</v>
      </c>
      <c r="O228" s="7" t="str">
        <f aca="true">IF(F228=0,"",TODAY()-L228)</f>
        <v/>
      </c>
      <c r="P228" s="7" t="str">
        <f aca="false">IF(F228&gt;=2,"Yes","No")</f>
        <v>No</v>
      </c>
      <c r="Q228" s="7" t="str">
        <f aca="false">IF(F228=0,"No Won Business",IF(M228&gt;0,"Active - In Pipeline",IF(O228&lt;=365,"Active",IF(O228&lt;=545,"At Risk","Churned"))))</f>
        <v>No Won Business</v>
      </c>
    </row>
    <row r="229" customFormat="false" ht="15" hidden="false" customHeight="false" outlineLevel="0" collapsed="false">
      <c r="A229" s="7" t="s">
        <v>827</v>
      </c>
      <c r="B229" s="7" t="s">
        <v>828</v>
      </c>
      <c r="C229" s="7" t="s">
        <v>104</v>
      </c>
      <c r="D229" s="7" t="s">
        <v>105</v>
      </c>
      <c r="E229" s="7" t="n">
        <f aca="false">COUNTIF(Closed_Deals!$B$2:$B$761,A229)</f>
        <v>1</v>
      </c>
      <c r="F229" s="7" t="n">
        <f aca="false">COUNTIFS(Closed_Deals!$B$2:$B$761,A229,Closed_Deals!$N$2:$N$761,"Won")</f>
        <v>1</v>
      </c>
      <c r="G229" s="7" t="n">
        <f aca="false">E229-F229</f>
        <v>0</v>
      </c>
      <c r="H229" s="11" t="n">
        <f aca="false">IFERROR(F229/E229,"")</f>
        <v>1</v>
      </c>
      <c r="I229" s="10" t="n">
        <f aca="false">SUMIFS(Closed_Deals!$M$2:$M$761,Closed_Deals!$B$2:$B$761,A229,Closed_Deals!$N$2:$N$761,"Won")</f>
        <v>47143.66</v>
      </c>
      <c r="J229" s="10" t="n">
        <f aca="false">IFERROR(I229/F229,"")</f>
        <v>47143.66</v>
      </c>
      <c r="K229" s="8" t="n">
        <f aca="false">IF(F229=0,"",_xlfn.MINIFS(Closed_Deals!$R$2:$R$761,Closed_Deals!$B$2:$B$761,A229,Closed_Deals!$N$2:$N$761,"Won"))</f>
        <v>46001</v>
      </c>
      <c r="L229" s="8" t="n">
        <f aca="false">IF(F229=0,"",_xlfn.MAXIFS(Closed_Deals!$R$2:$R$761,Closed_Deals!$B$2:$B$761,A229,Closed_Deals!$N$2:$N$761,"Won"))</f>
        <v>46001</v>
      </c>
      <c r="M229" s="7" t="n">
        <f aca="false">COUNTIF(Open_Pipeline!$B$2:$B$151,A229)</f>
        <v>0</v>
      </c>
      <c r="N229" s="10" t="n">
        <f aca="false">SUMIF(Open_Pipeline!$B$2:$B$151,A229,Open_Pipeline!$M$2:$M$151)</f>
        <v>0</v>
      </c>
      <c r="O229" s="7" t="n">
        <f aca="true">IF(F229=0,"",TODAY()-L229)</f>
        <v>273</v>
      </c>
      <c r="P229" s="7" t="str">
        <f aca="false">IF(F229&gt;=2,"Yes","No")</f>
        <v>No</v>
      </c>
      <c r="Q229" s="7" t="str">
        <f aca="false">IF(F229=0,"No Won Business",IF(M229&gt;0,"Active - In Pipeline",IF(O229&lt;=365,"Active",IF(O229&lt;=545,"At Risk","Churned"))))</f>
        <v>Active</v>
      </c>
    </row>
    <row r="230" customFormat="false" ht="15" hidden="false" customHeight="false" outlineLevel="0" collapsed="false">
      <c r="A230" s="7" t="s">
        <v>126</v>
      </c>
      <c r="B230" s="7" t="s">
        <v>127</v>
      </c>
      <c r="C230" s="7" t="s">
        <v>104</v>
      </c>
      <c r="D230" s="7" t="s">
        <v>105</v>
      </c>
      <c r="E230" s="7" t="n">
        <f aca="false">COUNTIF(Closed_Deals!$B$2:$B$761,A230)</f>
        <v>9</v>
      </c>
      <c r="F230" s="7" t="n">
        <f aca="false">COUNTIFS(Closed_Deals!$B$2:$B$761,A230,Closed_Deals!$N$2:$N$761,"Won")</f>
        <v>2</v>
      </c>
      <c r="G230" s="7" t="n">
        <f aca="false">E230-F230</f>
        <v>7</v>
      </c>
      <c r="H230" s="11" t="n">
        <f aca="false">IFERROR(F230/E230,"")</f>
        <v>0.222222222222222</v>
      </c>
      <c r="I230" s="10" t="n">
        <f aca="false">SUMIFS(Closed_Deals!$M$2:$M$761,Closed_Deals!$B$2:$B$761,A230,Closed_Deals!$N$2:$N$761,"Won")</f>
        <v>161723.22</v>
      </c>
      <c r="J230" s="10" t="n">
        <f aca="false">IFERROR(I230/F230,"")</f>
        <v>80861.61</v>
      </c>
      <c r="K230" s="8" t="n">
        <f aca="false">IF(F230=0,"",_xlfn.MINIFS(Closed_Deals!$R$2:$R$761,Closed_Deals!$B$2:$B$761,A230,Closed_Deals!$N$2:$N$761,"Won"))</f>
        <v>45251</v>
      </c>
      <c r="L230" s="8" t="n">
        <f aca="false">IF(F230=0,"",_xlfn.MAXIFS(Closed_Deals!$R$2:$R$761,Closed_Deals!$B$2:$B$761,A230,Closed_Deals!$N$2:$N$761,"Won"))</f>
        <v>46149</v>
      </c>
      <c r="M230" s="7" t="n">
        <f aca="false">COUNTIF(Open_Pipeline!$B$2:$B$151,A230)</f>
        <v>3</v>
      </c>
      <c r="N230" s="10" t="n">
        <f aca="false">SUMIF(Open_Pipeline!$B$2:$B$151,A230,Open_Pipeline!$M$2:$M$151)</f>
        <v>507446.98</v>
      </c>
      <c r="O230" s="7" t="n">
        <f aca="true">IF(F230=0,"",TODAY()-L230)</f>
        <v>125</v>
      </c>
      <c r="P230" s="7" t="str">
        <f aca="false">IF(F230&gt;=2,"Yes","No")</f>
        <v>Yes</v>
      </c>
      <c r="Q230" s="7" t="str">
        <f aca="false">IF(F230=0,"No Won Business",IF(M230&gt;0,"Active - In Pipeline",IF(O230&lt;=365,"Active",IF(O230&lt;=545,"At Risk","Churned"))))</f>
        <v>Active - In Pipeline</v>
      </c>
    </row>
    <row r="231" customFormat="false" ht="15" hidden="false" customHeight="false" outlineLevel="0" collapsed="false">
      <c r="A231" s="7" t="s">
        <v>294</v>
      </c>
      <c r="B231" s="7" t="s">
        <v>295</v>
      </c>
      <c r="C231" s="7" t="s">
        <v>93</v>
      </c>
      <c r="D231" s="7" t="s">
        <v>94</v>
      </c>
      <c r="E231" s="7" t="n">
        <f aca="false">COUNTIF(Closed_Deals!$B$2:$B$761,A231)</f>
        <v>3</v>
      </c>
      <c r="F231" s="7" t="n">
        <f aca="false">COUNTIFS(Closed_Deals!$B$2:$B$761,A231,Closed_Deals!$N$2:$N$761,"Won")</f>
        <v>1</v>
      </c>
      <c r="G231" s="7" t="n">
        <f aca="false">E231-F231</f>
        <v>2</v>
      </c>
      <c r="H231" s="11" t="n">
        <f aca="false">IFERROR(F231/E231,"")</f>
        <v>0.333333333333333</v>
      </c>
      <c r="I231" s="10" t="n">
        <f aca="false">SUMIFS(Closed_Deals!$M$2:$M$761,Closed_Deals!$B$2:$B$761,A231,Closed_Deals!$N$2:$N$761,"Won")</f>
        <v>32359.13</v>
      </c>
      <c r="J231" s="10" t="n">
        <f aca="false">IFERROR(I231/F231,"")</f>
        <v>32359.13</v>
      </c>
      <c r="K231" s="8" t="n">
        <f aca="false">IF(F231=0,"",_xlfn.MINIFS(Closed_Deals!$R$2:$R$761,Closed_Deals!$B$2:$B$761,A231,Closed_Deals!$N$2:$N$761,"Won"))</f>
        <v>46341</v>
      </c>
      <c r="L231" s="8" t="n">
        <f aca="false">IF(F231=0,"",_xlfn.MAXIFS(Closed_Deals!$R$2:$R$761,Closed_Deals!$B$2:$B$761,A231,Closed_Deals!$N$2:$N$761,"Won"))</f>
        <v>46341</v>
      </c>
      <c r="M231" s="7" t="n">
        <f aca="false">COUNTIF(Open_Pipeline!$B$2:$B$151,A231)</f>
        <v>0</v>
      </c>
      <c r="N231" s="10" t="n">
        <f aca="false">SUMIF(Open_Pipeline!$B$2:$B$151,A231,Open_Pipeline!$M$2:$M$151)</f>
        <v>0</v>
      </c>
      <c r="O231" s="7" t="n">
        <f aca="true">IF(F231=0,"",TODAY()-L231)</f>
        <v>-67</v>
      </c>
      <c r="P231" s="7" t="str">
        <f aca="false">IF(F231&gt;=2,"Yes","No")</f>
        <v>No</v>
      </c>
      <c r="Q231" s="7" t="str">
        <f aca="false">IF(F231=0,"No Won Business",IF(M231&gt;0,"Active - In Pipeline",IF(O231&lt;=365,"Active",IF(O231&lt;=545,"At Risk","Churned"))))</f>
        <v>Active</v>
      </c>
    </row>
    <row r="232" customFormat="false" ht="15" hidden="false" customHeight="false" outlineLevel="0" collapsed="false">
      <c r="A232" s="7" t="s">
        <v>1014</v>
      </c>
      <c r="B232" s="7" t="s">
        <v>1015</v>
      </c>
      <c r="C232" s="7" t="s">
        <v>151</v>
      </c>
      <c r="D232" s="7" t="s">
        <v>94</v>
      </c>
      <c r="E232" s="7" t="n">
        <f aca="false">COUNTIF(Closed_Deals!$B$2:$B$761,A232)</f>
        <v>3</v>
      </c>
      <c r="F232" s="7" t="n">
        <f aca="false">COUNTIFS(Closed_Deals!$B$2:$B$761,A232,Closed_Deals!$N$2:$N$761,"Won")</f>
        <v>2</v>
      </c>
      <c r="G232" s="7" t="n">
        <f aca="false">E232-F232</f>
        <v>1</v>
      </c>
      <c r="H232" s="11" t="n">
        <f aca="false">IFERROR(F232/E232,"")</f>
        <v>0.666666666666667</v>
      </c>
      <c r="I232" s="10" t="n">
        <f aca="false">SUMIFS(Closed_Deals!$M$2:$M$761,Closed_Deals!$B$2:$B$761,A232,Closed_Deals!$N$2:$N$761,"Won")</f>
        <v>188175.33</v>
      </c>
      <c r="J232" s="10" t="n">
        <f aca="false">IFERROR(I232/F232,"")</f>
        <v>94087.665</v>
      </c>
      <c r="K232" s="8" t="n">
        <f aca="false">IF(F232=0,"",_xlfn.MINIFS(Closed_Deals!$R$2:$R$761,Closed_Deals!$B$2:$B$761,A232,Closed_Deals!$N$2:$N$761,"Won"))</f>
        <v>46021</v>
      </c>
      <c r="L232" s="8" t="n">
        <f aca="false">IF(F232=0,"",_xlfn.MAXIFS(Closed_Deals!$R$2:$R$761,Closed_Deals!$B$2:$B$761,A232,Closed_Deals!$N$2:$N$761,"Won"))</f>
        <v>46153</v>
      </c>
      <c r="M232" s="7" t="n">
        <f aca="false">COUNTIF(Open_Pipeline!$B$2:$B$151,A232)</f>
        <v>0</v>
      </c>
      <c r="N232" s="10" t="n">
        <f aca="false">SUMIF(Open_Pipeline!$B$2:$B$151,A232,Open_Pipeline!$M$2:$M$151)</f>
        <v>0</v>
      </c>
      <c r="O232" s="7" t="n">
        <f aca="true">IF(F232=0,"",TODAY()-L232)</f>
        <v>121</v>
      </c>
      <c r="P232" s="7" t="str">
        <f aca="false">IF(F232&gt;=2,"Yes","No")</f>
        <v>Yes</v>
      </c>
      <c r="Q232" s="7" t="str">
        <f aca="false">IF(F232=0,"No Won Business",IF(M232&gt;0,"Active - In Pipeline",IF(O232&lt;=365,"Active",IF(O232&lt;=545,"At Risk","Churned"))))</f>
        <v>Active</v>
      </c>
    </row>
    <row r="233" customFormat="false" ht="15" hidden="false" customHeight="false" outlineLevel="0" collapsed="false">
      <c r="A233" s="7" t="s">
        <v>303</v>
      </c>
      <c r="B233" s="7" t="s">
        <v>304</v>
      </c>
      <c r="C233" s="7" t="s">
        <v>93</v>
      </c>
      <c r="D233" s="7" t="s">
        <v>115</v>
      </c>
      <c r="E233" s="7" t="n">
        <f aca="false">COUNTIF(Closed_Deals!$B$2:$B$761,A233)</f>
        <v>5</v>
      </c>
      <c r="F233" s="7" t="n">
        <f aca="false">COUNTIFS(Closed_Deals!$B$2:$B$761,A233,Closed_Deals!$N$2:$N$761,"Won")</f>
        <v>2</v>
      </c>
      <c r="G233" s="7" t="n">
        <f aca="false">E233-F233</f>
        <v>3</v>
      </c>
      <c r="H233" s="11" t="n">
        <f aca="false">IFERROR(F233/E233,"")</f>
        <v>0.4</v>
      </c>
      <c r="I233" s="10" t="n">
        <f aca="false">SUMIFS(Closed_Deals!$M$2:$M$761,Closed_Deals!$B$2:$B$761,A233,Closed_Deals!$N$2:$N$761,"Won")</f>
        <v>224480.43</v>
      </c>
      <c r="J233" s="10" t="n">
        <f aca="false">IFERROR(I233/F233,"")</f>
        <v>112240.215</v>
      </c>
      <c r="K233" s="8" t="n">
        <f aca="false">IF(F233=0,"",_xlfn.MINIFS(Closed_Deals!$R$2:$R$761,Closed_Deals!$B$2:$B$761,A233,Closed_Deals!$N$2:$N$761,"Won"))</f>
        <v>45441</v>
      </c>
      <c r="L233" s="8" t="n">
        <f aca="false">IF(F233=0,"",_xlfn.MAXIFS(Closed_Deals!$R$2:$R$761,Closed_Deals!$B$2:$B$761,A233,Closed_Deals!$N$2:$N$761,"Won"))</f>
        <v>45816</v>
      </c>
      <c r="M233" s="7" t="n">
        <f aca="false">COUNTIF(Open_Pipeline!$B$2:$B$151,A233)</f>
        <v>2</v>
      </c>
      <c r="N233" s="10" t="n">
        <f aca="false">SUMIF(Open_Pipeline!$B$2:$B$151,A233,Open_Pipeline!$M$2:$M$151)</f>
        <v>178773.02</v>
      </c>
      <c r="O233" s="7" t="n">
        <f aca="true">IF(F233=0,"",TODAY()-L233)</f>
        <v>458</v>
      </c>
      <c r="P233" s="7" t="str">
        <f aca="false">IF(F233&gt;=2,"Yes","No")</f>
        <v>Yes</v>
      </c>
      <c r="Q233" s="7" t="str">
        <f aca="false">IF(F233=0,"No Won Business",IF(M233&gt;0,"Active - In Pipeline",IF(O233&lt;=365,"Active",IF(O233&lt;=545,"At Risk","Churned"))))</f>
        <v>Active - In Pipeline</v>
      </c>
    </row>
    <row r="234" customFormat="false" ht="15" hidden="false" customHeight="false" outlineLevel="0" collapsed="false">
      <c r="A234" s="7" t="s">
        <v>762</v>
      </c>
      <c r="B234" s="7" t="s">
        <v>763</v>
      </c>
      <c r="C234" s="7" t="s">
        <v>114</v>
      </c>
      <c r="D234" s="7" t="s">
        <v>115</v>
      </c>
      <c r="E234" s="7" t="n">
        <f aca="false">COUNTIF(Closed_Deals!$B$2:$B$761,A234)</f>
        <v>1</v>
      </c>
      <c r="F234" s="7" t="n">
        <f aca="false">COUNTIFS(Closed_Deals!$B$2:$B$761,A234,Closed_Deals!$N$2:$N$761,"Won")</f>
        <v>1</v>
      </c>
      <c r="G234" s="7" t="n">
        <f aca="false">E234-F234</f>
        <v>0</v>
      </c>
      <c r="H234" s="11" t="n">
        <f aca="false">IFERROR(F234/E234,"")</f>
        <v>1</v>
      </c>
      <c r="I234" s="10" t="n">
        <f aca="false">SUMIFS(Closed_Deals!$M$2:$M$761,Closed_Deals!$B$2:$B$761,A234,Closed_Deals!$N$2:$N$761,"Won")</f>
        <v>188039.14</v>
      </c>
      <c r="J234" s="10" t="n">
        <f aca="false">IFERROR(I234/F234,"")</f>
        <v>188039.14</v>
      </c>
      <c r="K234" s="8" t="n">
        <f aca="false">IF(F234=0,"",_xlfn.MINIFS(Closed_Deals!$R$2:$R$761,Closed_Deals!$B$2:$B$761,A234,Closed_Deals!$N$2:$N$761,"Won"))</f>
        <v>45959</v>
      </c>
      <c r="L234" s="8" t="n">
        <f aca="false">IF(F234=0,"",_xlfn.MAXIFS(Closed_Deals!$R$2:$R$761,Closed_Deals!$B$2:$B$761,A234,Closed_Deals!$N$2:$N$761,"Won"))</f>
        <v>45959</v>
      </c>
      <c r="M234" s="7" t="n">
        <f aca="false">COUNTIF(Open_Pipeline!$B$2:$B$151,A234)</f>
        <v>0</v>
      </c>
      <c r="N234" s="10" t="n">
        <f aca="false">SUMIF(Open_Pipeline!$B$2:$B$151,A234,Open_Pipeline!$M$2:$M$151)</f>
        <v>0</v>
      </c>
      <c r="O234" s="7" t="n">
        <f aca="true">IF(F234=0,"",TODAY()-L234)</f>
        <v>315</v>
      </c>
      <c r="P234" s="7" t="str">
        <f aca="false">IF(F234&gt;=2,"Yes","No")</f>
        <v>No</v>
      </c>
      <c r="Q234" s="7" t="str">
        <f aca="false">IF(F234=0,"No Won Business",IF(M234&gt;0,"Active - In Pipeline",IF(O234&lt;=365,"Active",IF(O234&lt;=545,"At Risk","Churned"))))</f>
        <v>Active</v>
      </c>
    </row>
    <row r="235" customFormat="false" ht="15" hidden="false" customHeight="false" outlineLevel="0" collapsed="false">
      <c r="A235" s="7" t="s">
        <v>311</v>
      </c>
      <c r="B235" s="7" t="s">
        <v>312</v>
      </c>
      <c r="C235" s="7" t="s">
        <v>135</v>
      </c>
      <c r="D235" s="7" t="s">
        <v>105</v>
      </c>
      <c r="E235" s="7" t="n">
        <f aca="false">COUNTIF(Closed_Deals!$B$2:$B$761,A235)</f>
        <v>2</v>
      </c>
      <c r="F235" s="7" t="n">
        <f aca="false">COUNTIFS(Closed_Deals!$B$2:$B$761,A235,Closed_Deals!$N$2:$N$761,"Won")</f>
        <v>0</v>
      </c>
      <c r="G235" s="7" t="n">
        <f aca="false">E235-F235</f>
        <v>2</v>
      </c>
      <c r="H235" s="11" t="n">
        <f aca="false">IFERROR(F235/E235,"")</f>
        <v>0</v>
      </c>
      <c r="I235" s="10" t="n">
        <f aca="false">SUMIFS(Closed_Deals!$M$2:$M$761,Closed_Deals!$B$2:$B$761,A235,Closed_Deals!$N$2:$N$761,"Won")</f>
        <v>0</v>
      </c>
      <c r="J235" s="10" t="str">
        <f aca="false">IFERROR(I235/F235,"")</f>
        <v/>
      </c>
      <c r="K235" s="8" t="str">
        <f aca="false">IF(F235=0,"",_xlfn.MINIFS(Closed_Deals!$R$2:$R$761,Closed_Deals!$B$2:$B$761,A235,Closed_Deals!$N$2:$N$761,"Won"))</f>
        <v/>
      </c>
      <c r="L235" s="8" t="str">
        <f aca="false">IF(F235=0,"",_xlfn.MAXIFS(Closed_Deals!$R$2:$R$761,Closed_Deals!$B$2:$B$761,A235,Closed_Deals!$N$2:$N$761,"Won"))</f>
        <v/>
      </c>
      <c r="M235" s="7" t="n">
        <f aca="false">COUNTIF(Open_Pipeline!$B$2:$B$151,A235)</f>
        <v>0</v>
      </c>
      <c r="N235" s="10" t="n">
        <f aca="false">SUMIF(Open_Pipeline!$B$2:$B$151,A235,Open_Pipeline!$M$2:$M$151)</f>
        <v>0</v>
      </c>
      <c r="O235" s="7" t="str">
        <f aca="true">IF(F235=0,"",TODAY()-L235)</f>
        <v/>
      </c>
      <c r="P235" s="7" t="str">
        <f aca="false">IF(F235&gt;=2,"Yes","No")</f>
        <v>No</v>
      </c>
      <c r="Q235" s="7" t="str">
        <f aca="false">IF(F235=0,"No Won Business",IF(M235&gt;0,"Active - In Pipeline",IF(O235&lt;=365,"Active",IF(O235&lt;=545,"At Risk","Churned"))))</f>
        <v>No Won Business</v>
      </c>
    </row>
    <row r="236" customFormat="false" ht="15" hidden="false" customHeight="false" outlineLevel="0" collapsed="false">
      <c r="A236" s="7" t="s">
        <v>443</v>
      </c>
      <c r="B236" s="7" t="s">
        <v>444</v>
      </c>
      <c r="C236" s="7" t="s">
        <v>201</v>
      </c>
      <c r="D236" s="7" t="s">
        <v>105</v>
      </c>
      <c r="E236" s="7" t="n">
        <f aca="false">COUNTIF(Closed_Deals!$B$2:$B$761,A236)</f>
        <v>6</v>
      </c>
      <c r="F236" s="7" t="n">
        <f aca="false">COUNTIFS(Closed_Deals!$B$2:$B$761,A236,Closed_Deals!$N$2:$N$761,"Won")</f>
        <v>0</v>
      </c>
      <c r="G236" s="7" t="n">
        <f aca="false">E236-F236</f>
        <v>6</v>
      </c>
      <c r="H236" s="11" t="n">
        <f aca="false">IFERROR(F236/E236,"")</f>
        <v>0</v>
      </c>
      <c r="I236" s="10" t="n">
        <f aca="false">SUMIFS(Closed_Deals!$M$2:$M$761,Closed_Deals!$B$2:$B$761,A236,Closed_Deals!$N$2:$N$761,"Won")</f>
        <v>0</v>
      </c>
      <c r="J236" s="10" t="str">
        <f aca="false">IFERROR(I236/F236,"")</f>
        <v/>
      </c>
      <c r="K236" s="8" t="str">
        <f aca="false">IF(F236=0,"",_xlfn.MINIFS(Closed_Deals!$R$2:$R$761,Closed_Deals!$B$2:$B$761,A236,Closed_Deals!$N$2:$N$761,"Won"))</f>
        <v/>
      </c>
      <c r="L236" s="8" t="str">
        <f aca="false">IF(F236=0,"",_xlfn.MAXIFS(Closed_Deals!$R$2:$R$761,Closed_Deals!$B$2:$B$761,A236,Closed_Deals!$N$2:$N$761,"Won"))</f>
        <v/>
      </c>
      <c r="M236" s="7" t="n">
        <f aca="false">COUNTIF(Open_Pipeline!$B$2:$B$151,A236)</f>
        <v>2</v>
      </c>
      <c r="N236" s="10" t="n">
        <f aca="false">SUMIF(Open_Pipeline!$B$2:$B$151,A236,Open_Pipeline!$M$2:$M$151)</f>
        <v>135713.4</v>
      </c>
      <c r="O236" s="7" t="str">
        <f aca="true">IF(F236=0,"",TODAY()-L236)</f>
        <v/>
      </c>
      <c r="P236" s="7" t="str">
        <f aca="false">IF(F236&gt;=2,"Yes","No")</f>
        <v>No</v>
      </c>
      <c r="Q236" s="7" t="str">
        <f aca="false">IF(F236=0,"No Won Business",IF(M236&gt;0,"Active - In Pipeline",IF(O236&lt;=365,"Active",IF(O236&lt;=545,"At Risk","Churned"))))</f>
        <v>No Won Business</v>
      </c>
    </row>
    <row r="237" customFormat="false" ht="15" hidden="false" customHeight="false" outlineLevel="0" collapsed="false">
      <c r="A237" s="7" t="s">
        <v>350</v>
      </c>
      <c r="B237" s="7" t="s">
        <v>351</v>
      </c>
      <c r="C237" s="7" t="s">
        <v>242</v>
      </c>
      <c r="D237" s="7" t="s">
        <v>162</v>
      </c>
      <c r="E237" s="7" t="n">
        <f aca="false">COUNTIF(Closed_Deals!$B$2:$B$761,A237)</f>
        <v>2</v>
      </c>
      <c r="F237" s="7" t="n">
        <f aca="false">COUNTIFS(Closed_Deals!$B$2:$B$761,A237,Closed_Deals!$N$2:$N$761,"Won")</f>
        <v>0</v>
      </c>
      <c r="G237" s="7" t="n">
        <f aca="false">E237-F237</f>
        <v>2</v>
      </c>
      <c r="H237" s="11" t="n">
        <f aca="false">IFERROR(F237/E237,"")</f>
        <v>0</v>
      </c>
      <c r="I237" s="10" t="n">
        <f aca="false">SUMIFS(Closed_Deals!$M$2:$M$761,Closed_Deals!$B$2:$B$761,A237,Closed_Deals!$N$2:$N$761,"Won")</f>
        <v>0</v>
      </c>
      <c r="J237" s="10" t="str">
        <f aca="false">IFERROR(I237/F237,"")</f>
        <v/>
      </c>
      <c r="K237" s="8" t="str">
        <f aca="false">IF(F237=0,"",_xlfn.MINIFS(Closed_Deals!$R$2:$R$761,Closed_Deals!$B$2:$B$761,A237,Closed_Deals!$N$2:$N$761,"Won"))</f>
        <v/>
      </c>
      <c r="L237" s="8" t="str">
        <f aca="false">IF(F237=0,"",_xlfn.MAXIFS(Closed_Deals!$R$2:$R$761,Closed_Deals!$B$2:$B$761,A237,Closed_Deals!$N$2:$N$761,"Won"))</f>
        <v/>
      </c>
      <c r="M237" s="7" t="n">
        <f aca="false">COUNTIF(Open_Pipeline!$B$2:$B$151,A237)</f>
        <v>1</v>
      </c>
      <c r="N237" s="10" t="n">
        <f aca="false">SUMIF(Open_Pipeline!$B$2:$B$151,A237,Open_Pipeline!$M$2:$M$151)</f>
        <v>45784.41</v>
      </c>
      <c r="O237" s="7" t="str">
        <f aca="true">IF(F237=0,"",TODAY()-L237)</f>
        <v/>
      </c>
      <c r="P237" s="7" t="str">
        <f aca="false">IF(F237&gt;=2,"Yes","No")</f>
        <v>No</v>
      </c>
      <c r="Q237" s="7" t="str">
        <f aca="false">IF(F237=0,"No Won Business",IF(M237&gt;0,"Active - In Pipeline",IF(O237&lt;=365,"Active",IF(O237&lt;=545,"At Risk","Churned"))))</f>
        <v>No Won Business</v>
      </c>
    </row>
    <row r="238" customFormat="false" ht="15" hidden="false" customHeight="false" outlineLevel="0" collapsed="false">
      <c r="A238" s="7" t="s">
        <v>1608</v>
      </c>
      <c r="B238" s="7" t="s">
        <v>1609</v>
      </c>
      <c r="C238" s="7" t="s">
        <v>93</v>
      </c>
      <c r="D238" s="7" t="s">
        <v>162</v>
      </c>
      <c r="E238" s="7" t="n">
        <f aca="false">COUNTIF(Closed_Deals!$B$2:$B$761,A238)</f>
        <v>0</v>
      </c>
      <c r="F238" s="7" t="n">
        <f aca="false">COUNTIFS(Closed_Deals!$B$2:$B$761,A238,Closed_Deals!$N$2:$N$761,"Won")</f>
        <v>0</v>
      </c>
      <c r="G238" s="7" t="n">
        <f aca="false">E238-F238</f>
        <v>0</v>
      </c>
      <c r="H238" s="11" t="str">
        <f aca="false">IFERROR(F238/E238,"")</f>
        <v/>
      </c>
      <c r="I238" s="10" t="n">
        <f aca="false">SUMIFS(Closed_Deals!$M$2:$M$761,Closed_Deals!$B$2:$B$761,A238,Closed_Deals!$N$2:$N$761,"Won")</f>
        <v>0</v>
      </c>
      <c r="J238" s="10" t="str">
        <f aca="false">IFERROR(I238/F238,"")</f>
        <v/>
      </c>
      <c r="K238" s="8" t="str">
        <f aca="false">IF(F238=0,"",_xlfn.MINIFS(Closed_Deals!$R$2:$R$761,Closed_Deals!$B$2:$B$761,A238,Closed_Deals!$N$2:$N$761,"Won"))</f>
        <v/>
      </c>
      <c r="L238" s="8" t="str">
        <f aca="false">IF(F238=0,"",_xlfn.MAXIFS(Closed_Deals!$R$2:$R$761,Closed_Deals!$B$2:$B$761,A238,Closed_Deals!$N$2:$N$761,"Won"))</f>
        <v/>
      </c>
      <c r="M238" s="7" t="n">
        <f aca="false">COUNTIF(Open_Pipeline!$B$2:$B$151,A238)</f>
        <v>0</v>
      </c>
      <c r="N238" s="10" t="n">
        <f aca="false">SUMIF(Open_Pipeline!$B$2:$B$151,A238,Open_Pipeline!$M$2:$M$151)</f>
        <v>0</v>
      </c>
      <c r="O238" s="7" t="str">
        <f aca="true">IF(F238=0,"",TODAY()-L238)</f>
        <v/>
      </c>
      <c r="P238" s="7" t="str">
        <f aca="false">IF(F238&gt;=2,"Yes","No")</f>
        <v>No</v>
      </c>
      <c r="Q238" s="7" t="str">
        <f aca="false">IF(F238=0,"No Won Business",IF(M238&gt;0,"Active - In Pipeline",IF(O238&lt;=365,"Active",IF(O238&lt;=545,"At Risk","Churned"))))</f>
        <v>No Won Business</v>
      </c>
    </row>
    <row r="239" customFormat="false" ht="15" hidden="false" customHeight="false" outlineLevel="0" collapsed="false">
      <c r="A239" s="7" t="s">
        <v>504</v>
      </c>
      <c r="B239" s="7" t="s">
        <v>505</v>
      </c>
      <c r="C239" s="7" t="s">
        <v>195</v>
      </c>
      <c r="D239" s="7" t="s">
        <v>105</v>
      </c>
      <c r="E239" s="7" t="n">
        <f aca="false">COUNTIF(Closed_Deals!$B$2:$B$761,A239)</f>
        <v>1</v>
      </c>
      <c r="F239" s="7" t="n">
        <f aca="false">COUNTIFS(Closed_Deals!$B$2:$B$761,A239,Closed_Deals!$N$2:$N$761,"Won")</f>
        <v>1</v>
      </c>
      <c r="G239" s="7" t="n">
        <f aca="false">E239-F239</f>
        <v>0</v>
      </c>
      <c r="H239" s="11" t="n">
        <f aca="false">IFERROR(F239/E239,"")</f>
        <v>1</v>
      </c>
      <c r="I239" s="10" t="n">
        <f aca="false">SUMIFS(Closed_Deals!$M$2:$M$761,Closed_Deals!$B$2:$B$761,A239,Closed_Deals!$N$2:$N$761,"Won")</f>
        <v>172328.76</v>
      </c>
      <c r="J239" s="10" t="n">
        <f aca="false">IFERROR(I239/F239,"")</f>
        <v>172328.76</v>
      </c>
      <c r="K239" s="8" t="n">
        <f aca="false">IF(F239=0,"",_xlfn.MINIFS(Closed_Deals!$R$2:$R$761,Closed_Deals!$B$2:$B$761,A239,Closed_Deals!$N$2:$N$761,"Won"))</f>
        <v>45589</v>
      </c>
      <c r="L239" s="8" t="n">
        <f aca="false">IF(F239=0,"",_xlfn.MAXIFS(Closed_Deals!$R$2:$R$761,Closed_Deals!$B$2:$B$761,A239,Closed_Deals!$N$2:$N$761,"Won"))</f>
        <v>45589</v>
      </c>
      <c r="M239" s="7" t="n">
        <f aca="false">COUNTIF(Open_Pipeline!$B$2:$B$151,A239)</f>
        <v>0</v>
      </c>
      <c r="N239" s="10" t="n">
        <f aca="false">SUMIF(Open_Pipeline!$B$2:$B$151,A239,Open_Pipeline!$M$2:$M$151)</f>
        <v>0</v>
      </c>
      <c r="O239" s="7" t="n">
        <f aca="true">IF(F239=0,"",TODAY()-L239)</f>
        <v>685</v>
      </c>
      <c r="P239" s="7" t="str">
        <f aca="false">IF(F239&gt;=2,"Yes","No")</f>
        <v>No</v>
      </c>
      <c r="Q239" s="7" t="str">
        <f aca="false">IF(F239=0,"No Won Business",IF(M239&gt;0,"Active - In Pipeline",IF(O239&lt;=365,"Active",IF(O239&lt;=545,"At Risk","Churned"))))</f>
        <v>Churned</v>
      </c>
    </row>
    <row r="240" customFormat="false" ht="15" hidden="false" customHeight="false" outlineLevel="0" collapsed="false">
      <c r="A240" s="7" t="s">
        <v>995</v>
      </c>
      <c r="B240" s="7" t="s">
        <v>996</v>
      </c>
      <c r="C240" s="7" t="s">
        <v>114</v>
      </c>
      <c r="D240" s="7" t="s">
        <v>162</v>
      </c>
      <c r="E240" s="7" t="n">
        <f aca="false">COUNTIF(Closed_Deals!$B$2:$B$761,A240)</f>
        <v>1</v>
      </c>
      <c r="F240" s="7" t="n">
        <f aca="false">COUNTIFS(Closed_Deals!$B$2:$B$761,A240,Closed_Deals!$N$2:$N$761,"Won")</f>
        <v>0</v>
      </c>
      <c r="G240" s="7" t="n">
        <f aca="false">E240-F240</f>
        <v>1</v>
      </c>
      <c r="H240" s="11" t="n">
        <f aca="false">IFERROR(F240/E240,"")</f>
        <v>0</v>
      </c>
      <c r="I240" s="10" t="n">
        <f aca="false">SUMIFS(Closed_Deals!$M$2:$M$761,Closed_Deals!$B$2:$B$761,A240,Closed_Deals!$N$2:$N$761,"Won")</f>
        <v>0</v>
      </c>
      <c r="J240" s="10" t="str">
        <f aca="false">IFERROR(I240/F240,"")</f>
        <v/>
      </c>
      <c r="K240" s="8" t="str">
        <f aca="false">IF(F240=0,"",_xlfn.MINIFS(Closed_Deals!$R$2:$R$761,Closed_Deals!$B$2:$B$761,A240,Closed_Deals!$N$2:$N$761,"Won"))</f>
        <v/>
      </c>
      <c r="L240" s="8" t="str">
        <f aca="false">IF(F240=0,"",_xlfn.MAXIFS(Closed_Deals!$R$2:$R$761,Closed_Deals!$B$2:$B$761,A240,Closed_Deals!$N$2:$N$761,"Won"))</f>
        <v/>
      </c>
      <c r="M240" s="7" t="n">
        <f aca="false">COUNTIF(Open_Pipeline!$B$2:$B$151,A240)</f>
        <v>0</v>
      </c>
      <c r="N240" s="10" t="n">
        <f aca="false">SUMIF(Open_Pipeline!$B$2:$B$151,A240,Open_Pipeline!$M$2:$M$151)</f>
        <v>0</v>
      </c>
      <c r="O240" s="7" t="str">
        <f aca="true">IF(F240=0,"",TODAY()-L240)</f>
        <v/>
      </c>
      <c r="P240" s="7" t="str">
        <f aca="false">IF(F240&gt;=2,"Yes","No")</f>
        <v>No</v>
      </c>
      <c r="Q240" s="7" t="str">
        <f aca="false">IF(F240=0,"No Won Business",IF(M240&gt;0,"Active - In Pipeline",IF(O240&lt;=365,"Active",IF(O240&lt;=545,"At Risk","Churned"))))</f>
        <v>No Won Business</v>
      </c>
    </row>
    <row r="241" customFormat="false" ht="15" hidden="false" customHeight="false" outlineLevel="0" collapsed="false">
      <c r="A241" s="7" t="s">
        <v>203</v>
      </c>
      <c r="B241" s="7" t="s">
        <v>204</v>
      </c>
      <c r="C241" s="7" t="s">
        <v>195</v>
      </c>
      <c r="D241" s="7" t="s">
        <v>94</v>
      </c>
      <c r="E241" s="7" t="n">
        <f aca="false">COUNTIF(Closed_Deals!$B$2:$B$761,A241)</f>
        <v>5</v>
      </c>
      <c r="F241" s="7" t="n">
        <f aca="false">COUNTIFS(Closed_Deals!$B$2:$B$761,A241,Closed_Deals!$N$2:$N$761,"Won")</f>
        <v>0</v>
      </c>
      <c r="G241" s="7" t="n">
        <f aca="false">E241-F241</f>
        <v>5</v>
      </c>
      <c r="H241" s="11" t="n">
        <f aca="false">IFERROR(F241/E241,"")</f>
        <v>0</v>
      </c>
      <c r="I241" s="10" t="n">
        <f aca="false">SUMIFS(Closed_Deals!$M$2:$M$761,Closed_Deals!$B$2:$B$761,A241,Closed_Deals!$N$2:$N$761,"Won")</f>
        <v>0</v>
      </c>
      <c r="J241" s="10" t="str">
        <f aca="false">IFERROR(I241/F241,"")</f>
        <v/>
      </c>
      <c r="K241" s="8" t="str">
        <f aca="false">IF(F241=0,"",_xlfn.MINIFS(Closed_Deals!$R$2:$R$761,Closed_Deals!$B$2:$B$761,A241,Closed_Deals!$N$2:$N$761,"Won"))</f>
        <v/>
      </c>
      <c r="L241" s="8" t="str">
        <f aca="false">IF(F241=0,"",_xlfn.MAXIFS(Closed_Deals!$R$2:$R$761,Closed_Deals!$B$2:$B$761,A241,Closed_Deals!$N$2:$N$761,"Won"))</f>
        <v/>
      </c>
      <c r="M241" s="7" t="n">
        <f aca="false">COUNTIF(Open_Pipeline!$B$2:$B$151,A241)</f>
        <v>1</v>
      </c>
      <c r="N241" s="10" t="n">
        <f aca="false">SUMIF(Open_Pipeline!$B$2:$B$151,A241,Open_Pipeline!$M$2:$M$151)</f>
        <v>175036.3</v>
      </c>
      <c r="O241" s="7" t="str">
        <f aca="true">IF(F241=0,"",TODAY()-L241)</f>
        <v/>
      </c>
      <c r="P241" s="7" t="str">
        <f aca="false">IF(F241&gt;=2,"Yes","No")</f>
        <v>No</v>
      </c>
      <c r="Q241" s="7" t="str">
        <f aca="false">IF(F241=0,"No Won Business",IF(M241&gt;0,"Active - In Pipeline",IF(O241&lt;=365,"Active",IF(O241&lt;=545,"At Risk","Churned"))))</f>
        <v>No Won Business</v>
      </c>
    </row>
    <row r="242" customFormat="false" ht="15" hidden="false" customHeight="false" outlineLevel="0" collapsed="false">
      <c r="A242" s="7" t="s">
        <v>1610</v>
      </c>
      <c r="B242" s="7" t="s">
        <v>1611</v>
      </c>
      <c r="C242" s="7" t="s">
        <v>93</v>
      </c>
      <c r="D242" s="7" t="s">
        <v>115</v>
      </c>
      <c r="E242" s="7" t="n">
        <f aca="false">COUNTIF(Closed_Deals!$B$2:$B$761,A242)</f>
        <v>0</v>
      </c>
      <c r="F242" s="7" t="n">
        <f aca="false">COUNTIFS(Closed_Deals!$B$2:$B$761,A242,Closed_Deals!$N$2:$N$761,"Won")</f>
        <v>0</v>
      </c>
      <c r="G242" s="7" t="n">
        <f aca="false">E242-F242</f>
        <v>0</v>
      </c>
      <c r="H242" s="11" t="str">
        <f aca="false">IFERROR(F242/E242,"")</f>
        <v/>
      </c>
      <c r="I242" s="10" t="n">
        <f aca="false">SUMIFS(Closed_Deals!$M$2:$M$761,Closed_Deals!$B$2:$B$761,A242,Closed_Deals!$N$2:$N$761,"Won")</f>
        <v>0</v>
      </c>
      <c r="J242" s="10" t="str">
        <f aca="false">IFERROR(I242/F242,"")</f>
        <v/>
      </c>
      <c r="K242" s="8" t="str">
        <f aca="false">IF(F242=0,"",_xlfn.MINIFS(Closed_Deals!$R$2:$R$761,Closed_Deals!$B$2:$B$761,A242,Closed_Deals!$N$2:$N$761,"Won"))</f>
        <v/>
      </c>
      <c r="L242" s="8" t="str">
        <f aca="false">IF(F242=0,"",_xlfn.MAXIFS(Closed_Deals!$R$2:$R$761,Closed_Deals!$B$2:$B$761,A242,Closed_Deals!$N$2:$N$761,"Won"))</f>
        <v/>
      </c>
      <c r="M242" s="7" t="n">
        <f aca="false">COUNTIF(Open_Pipeline!$B$2:$B$151,A242)</f>
        <v>0</v>
      </c>
      <c r="N242" s="10" t="n">
        <f aca="false">SUMIF(Open_Pipeline!$B$2:$B$151,A242,Open_Pipeline!$M$2:$M$151)</f>
        <v>0</v>
      </c>
      <c r="O242" s="7" t="str">
        <f aca="true">IF(F242=0,"",TODAY()-L242)</f>
        <v/>
      </c>
      <c r="P242" s="7" t="str">
        <f aca="false">IF(F242&gt;=2,"Yes","No")</f>
        <v>No</v>
      </c>
      <c r="Q242" s="7" t="str">
        <f aca="false">IF(F242=0,"No Won Business",IF(M242&gt;0,"Active - In Pipeline",IF(O242&lt;=365,"Active",IF(O242&lt;=545,"At Risk","Churned"))))</f>
        <v>No Won Business</v>
      </c>
    </row>
    <row r="243" customFormat="false" ht="15" hidden="false" customHeight="false" outlineLevel="0" collapsed="false">
      <c r="A243" s="7" t="s">
        <v>566</v>
      </c>
      <c r="B243" s="7" t="s">
        <v>567</v>
      </c>
      <c r="C243" s="7" t="s">
        <v>93</v>
      </c>
      <c r="D243" s="7" t="s">
        <v>105</v>
      </c>
      <c r="E243" s="7" t="n">
        <f aca="false">COUNTIF(Closed_Deals!$B$2:$B$761,A243)</f>
        <v>1</v>
      </c>
      <c r="F243" s="7" t="n">
        <f aca="false">COUNTIFS(Closed_Deals!$B$2:$B$761,A243,Closed_Deals!$N$2:$N$761,"Won")</f>
        <v>0</v>
      </c>
      <c r="G243" s="7" t="n">
        <f aca="false">E243-F243</f>
        <v>1</v>
      </c>
      <c r="H243" s="11" t="n">
        <f aca="false">IFERROR(F243/E243,"")</f>
        <v>0</v>
      </c>
      <c r="I243" s="10" t="n">
        <f aca="false">SUMIFS(Closed_Deals!$M$2:$M$761,Closed_Deals!$B$2:$B$761,A243,Closed_Deals!$N$2:$N$761,"Won")</f>
        <v>0</v>
      </c>
      <c r="J243" s="10" t="str">
        <f aca="false">IFERROR(I243/F243,"")</f>
        <v/>
      </c>
      <c r="K243" s="8" t="str">
        <f aca="false">IF(F243=0,"",_xlfn.MINIFS(Closed_Deals!$R$2:$R$761,Closed_Deals!$B$2:$B$761,A243,Closed_Deals!$N$2:$N$761,"Won"))</f>
        <v/>
      </c>
      <c r="L243" s="8" t="str">
        <f aca="false">IF(F243=0,"",_xlfn.MAXIFS(Closed_Deals!$R$2:$R$761,Closed_Deals!$B$2:$B$761,A243,Closed_Deals!$N$2:$N$761,"Won"))</f>
        <v/>
      </c>
      <c r="M243" s="7" t="n">
        <f aca="false">COUNTIF(Open_Pipeline!$B$2:$B$151,A243)</f>
        <v>0</v>
      </c>
      <c r="N243" s="10" t="n">
        <f aca="false">SUMIF(Open_Pipeline!$B$2:$B$151,A243,Open_Pipeline!$M$2:$M$151)</f>
        <v>0</v>
      </c>
      <c r="O243" s="7" t="str">
        <f aca="true">IF(F243=0,"",TODAY()-L243)</f>
        <v/>
      </c>
      <c r="P243" s="7" t="str">
        <f aca="false">IF(F243&gt;=2,"Yes","No")</f>
        <v>No</v>
      </c>
      <c r="Q243" s="7" t="str">
        <f aca="false">IF(F243=0,"No Won Business",IF(M243&gt;0,"Active - In Pipeline",IF(O243&lt;=365,"Active",IF(O243&lt;=545,"At Risk","Churned"))))</f>
        <v>No Won Business</v>
      </c>
    </row>
    <row r="244" customFormat="false" ht="15" hidden="false" customHeight="false" outlineLevel="0" collapsed="false">
      <c r="A244" s="7" t="s">
        <v>1612</v>
      </c>
      <c r="B244" s="7" t="s">
        <v>1613</v>
      </c>
      <c r="C244" s="7" t="s">
        <v>135</v>
      </c>
      <c r="D244" s="7" t="s">
        <v>94</v>
      </c>
      <c r="E244" s="7" t="n">
        <f aca="false">COUNTIF(Closed_Deals!$B$2:$B$761,A244)</f>
        <v>0</v>
      </c>
      <c r="F244" s="7" t="n">
        <f aca="false">COUNTIFS(Closed_Deals!$B$2:$B$761,A244,Closed_Deals!$N$2:$N$761,"Won")</f>
        <v>0</v>
      </c>
      <c r="G244" s="7" t="n">
        <f aca="false">E244-F244</f>
        <v>0</v>
      </c>
      <c r="H244" s="11" t="str">
        <f aca="false">IFERROR(F244/E244,"")</f>
        <v/>
      </c>
      <c r="I244" s="10" t="n">
        <f aca="false">SUMIFS(Closed_Deals!$M$2:$M$761,Closed_Deals!$B$2:$B$761,A244,Closed_Deals!$N$2:$N$761,"Won")</f>
        <v>0</v>
      </c>
      <c r="J244" s="10" t="str">
        <f aca="false">IFERROR(I244/F244,"")</f>
        <v/>
      </c>
      <c r="K244" s="8" t="str">
        <f aca="false">IF(F244=0,"",_xlfn.MINIFS(Closed_Deals!$R$2:$R$761,Closed_Deals!$B$2:$B$761,A244,Closed_Deals!$N$2:$N$761,"Won"))</f>
        <v/>
      </c>
      <c r="L244" s="8" t="str">
        <f aca="false">IF(F244=0,"",_xlfn.MAXIFS(Closed_Deals!$R$2:$R$761,Closed_Deals!$B$2:$B$761,A244,Closed_Deals!$N$2:$N$761,"Won"))</f>
        <v/>
      </c>
      <c r="M244" s="7" t="n">
        <f aca="false">COUNTIF(Open_Pipeline!$B$2:$B$151,A244)</f>
        <v>0</v>
      </c>
      <c r="N244" s="10" t="n">
        <f aca="false">SUMIF(Open_Pipeline!$B$2:$B$151,A244,Open_Pipeline!$M$2:$M$151)</f>
        <v>0</v>
      </c>
      <c r="O244" s="7" t="str">
        <f aca="true">IF(F244=0,"",TODAY()-L244)</f>
        <v/>
      </c>
      <c r="P244" s="7" t="str">
        <f aca="false">IF(F244&gt;=2,"Yes","No")</f>
        <v>No</v>
      </c>
      <c r="Q244" s="7" t="str">
        <f aca="false">IF(F244=0,"No Won Business",IF(M244&gt;0,"Active - In Pipeline",IF(O244&lt;=365,"Active",IF(O244&lt;=545,"At Risk","Churned"))))</f>
        <v>No Won Business</v>
      </c>
    </row>
    <row r="245" customFormat="false" ht="15" hidden="false" customHeight="false" outlineLevel="0" collapsed="false">
      <c r="A245" s="7" t="s">
        <v>208</v>
      </c>
      <c r="B245" s="7" t="s">
        <v>209</v>
      </c>
      <c r="C245" s="7" t="s">
        <v>114</v>
      </c>
      <c r="D245" s="7" t="s">
        <v>162</v>
      </c>
      <c r="E245" s="7" t="n">
        <f aca="false">COUNTIF(Closed_Deals!$B$2:$B$761,A245)</f>
        <v>5</v>
      </c>
      <c r="F245" s="7" t="n">
        <f aca="false">COUNTIFS(Closed_Deals!$B$2:$B$761,A245,Closed_Deals!$N$2:$N$761,"Won")</f>
        <v>1</v>
      </c>
      <c r="G245" s="7" t="n">
        <f aca="false">E245-F245</f>
        <v>4</v>
      </c>
      <c r="H245" s="11" t="n">
        <f aca="false">IFERROR(F245/E245,"")</f>
        <v>0.2</v>
      </c>
      <c r="I245" s="10" t="n">
        <f aca="false">SUMIFS(Closed_Deals!$M$2:$M$761,Closed_Deals!$B$2:$B$761,A245,Closed_Deals!$N$2:$N$761,"Won")</f>
        <v>184883.75</v>
      </c>
      <c r="J245" s="10" t="n">
        <f aca="false">IFERROR(I245/F245,"")</f>
        <v>184883.75</v>
      </c>
      <c r="K245" s="8" t="n">
        <f aca="false">IF(F245=0,"",_xlfn.MINIFS(Closed_Deals!$R$2:$R$761,Closed_Deals!$B$2:$B$761,A245,Closed_Deals!$N$2:$N$761,"Won"))</f>
        <v>46146</v>
      </c>
      <c r="L245" s="8" t="n">
        <f aca="false">IF(F245=0,"",_xlfn.MAXIFS(Closed_Deals!$R$2:$R$761,Closed_Deals!$B$2:$B$761,A245,Closed_Deals!$N$2:$N$761,"Won"))</f>
        <v>46146</v>
      </c>
      <c r="M245" s="7" t="n">
        <f aca="false">COUNTIF(Open_Pipeline!$B$2:$B$151,A245)</f>
        <v>1</v>
      </c>
      <c r="N245" s="10" t="n">
        <f aca="false">SUMIF(Open_Pipeline!$B$2:$B$151,A245,Open_Pipeline!$M$2:$M$151)</f>
        <v>35672.81</v>
      </c>
      <c r="O245" s="7" t="n">
        <f aca="true">IF(F245=0,"",TODAY()-L245)</f>
        <v>128</v>
      </c>
      <c r="P245" s="7" t="str">
        <f aca="false">IF(F245&gt;=2,"Yes","No")</f>
        <v>No</v>
      </c>
      <c r="Q245" s="7" t="str">
        <f aca="false">IF(F245=0,"No Won Business",IF(M245&gt;0,"Active - In Pipeline",IF(O245&lt;=365,"Active",IF(O245&lt;=545,"At Risk","Churned"))))</f>
        <v>Active - In Pipeline</v>
      </c>
    </row>
    <row r="246" customFormat="false" ht="15" hidden="false" customHeight="false" outlineLevel="0" collapsed="false">
      <c r="A246" s="7" t="s">
        <v>569</v>
      </c>
      <c r="B246" s="7" t="s">
        <v>570</v>
      </c>
      <c r="C246" s="7" t="s">
        <v>242</v>
      </c>
      <c r="D246" s="7" t="s">
        <v>162</v>
      </c>
      <c r="E246" s="7" t="n">
        <f aca="false">COUNTIF(Closed_Deals!$B$2:$B$761,A246)</f>
        <v>6</v>
      </c>
      <c r="F246" s="7" t="n">
        <f aca="false">COUNTIFS(Closed_Deals!$B$2:$B$761,A246,Closed_Deals!$N$2:$N$761,"Won")</f>
        <v>3</v>
      </c>
      <c r="G246" s="7" t="n">
        <f aca="false">E246-F246</f>
        <v>3</v>
      </c>
      <c r="H246" s="11" t="n">
        <f aca="false">IFERROR(F246/E246,"")</f>
        <v>0.5</v>
      </c>
      <c r="I246" s="10" t="n">
        <f aca="false">SUMIFS(Closed_Deals!$M$2:$M$761,Closed_Deals!$B$2:$B$761,A246,Closed_Deals!$N$2:$N$761,"Won")</f>
        <v>345819.13</v>
      </c>
      <c r="J246" s="10" t="n">
        <f aca="false">IFERROR(I246/F246,"")</f>
        <v>115273.043333333</v>
      </c>
      <c r="K246" s="8" t="n">
        <f aca="false">IF(F246=0,"",_xlfn.MINIFS(Closed_Deals!$R$2:$R$761,Closed_Deals!$B$2:$B$761,A246,Closed_Deals!$N$2:$N$761,"Won"))</f>
        <v>45784</v>
      </c>
      <c r="L246" s="8" t="n">
        <f aca="false">IF(F246=0,"",_xlfn.MAXIFS(Closed_Deals!$R$2:$R$761,Closed_Deals!$B$2:$B$761,A246,Closed_Deals!$N$2:$N$761,"Won"))</f>
        <v>46018</v>
      </c>
      <c r="M246" s="7" t="n">
        <f aca="false">COUNTIF(Open_Pipeline!$B$2:$B$151,A246)</f>
        <v>0</v>
      </c>
      <c r="N246" s="10" t="n">
        <f aca="false">SUMIF(Open_Pipeline!$B$2:$B$151,A246,Open_Pipeline!$M$2:$M$151)</f>
        <v>0</v>
      </c>
      <c r="O246" s="7" t="n">
        <f aca="true">IF(F246=0,"",TODAY()-L246)</f>
        <v>256</v>
      </c>
      <c r="P246" s="7" t="str">
        <f aca="false">IF(F246&gt;=2,"Yes","No")</f>
        <v>Yes</v>
      </c>
      <c r="Q246" s="7" t="str">
        <f aca="false">IF(F246=0,"No Won Business",IF(M246&gt;0,"Active - In Pipeline",IF(O246&lt;=365,"Active",IF(O246&lt;=545,"At Risk","Churned"))))</f>
        <v>Active</v>
      </c>
    </row>
    <row r="247" customFormat="false" ht="15" hidden="false" customHeight="false" outlineLevel="0" collapsed="false">
      <c r="A247" s="7" t="s">
        <v>1614</v>
      </c>
      <c r="B247" s="7" t="s">
        <v>1615</v>
      </c>
      <c r="C247" s="7" t="s">
        <v>135</v>
      </c>
      <c r="D247" s="7" t="s">
        <v>94</v>
      </c>
      <c r="E247" s="7" t="n">
        <f aca="false">COUNTIF(Closed_Deals!$B$2:$B$761,A247)</f>
        <v>0</v>
      </c>
      <c r="F247" s="7" t="n">
        <f aca="false">COUNTIFS(Closed_Deals!$B$2:$B$761,A247,Closed_Deals!$N$2:$N$761,"Won")</f>
        <v>0</v>
      </c>
      <c r="G247" s="7" t="n">
        <f aca="false">E247-F247</f>
        <v>0</v>
      </c>
      <c r="H247" s="11" t="str">
        <f aca="false">IFERROR(F247/E247,"")</f>
        <v/>
      </c>
      <c r="I247" s="10" t="n">
        <f aca="false">SUMIFS(Closed_Deals!$M$2:$M$761,Closed_Deals!$B$2:$B$761,A247,Closed_Deals!$N$2:$N$761,"Won")</f>
        <v>0</v>
      </c>
      <c r="J247" s="10" t="str">
        <f aca="false">IFERROR(I247/F247,"")</f>
        <v/>
      </c>
      <c r="K247" s="8" t="str">
        <f aca="false">IF(F247=0,"",_xlfn.MINIFS(Closed_Deals!$R$2:$R$761,Closed_Deals!$B$2:$B$761,A247,Closed_Deals!$N$2:$N$761,"Won"))</f>
        <v/>
      </c>
      <c r="L247" s="8" t="str">
        <f aca="false">IF(F247=0,"",_xlfn.MAXIFS(Closed_Deals!$R$2:$R$761,Closed_Deals!$B$2:$B$761,A247,Closed_Deals!$N$2:$N$761,"Won"))</f>
        <v/>
      </c>
      <c r="M247" s="7" t="n">
        <f aca="false">COUNTIF(Open_Pipeline!$B$2:$B$151,A247)</f>
        <v>0</v>
      </c>
      <c r="N247" s="10" t="n">
        <f aca="false">SUMIF(Open_Pipeline!$B$2:$B$151,A247,Open_Pipeline!$M$2:$M$151)</f>
        <v>0</v>
      </c>
      <c r="O247" s="7" t="str">
        <f aca="true">IF(F247=0,"",TODAY()-L247)</f>
        <v/>
      </c>
      <c r="P247" s="7" t="str">
        <f aca="false">IF(F247&gt;=2,"Yes","No")</f>
        <v>No</v>
      </c>
      <c r="Q247" s="7" t="str">
        <f aca="false">IF(F247=0,"No Won Business",IF(M247&gt;0,"Active - In Pipeline",IF(O247&lt;=365,"Active",IF(O247&lt;=545,"At Risk","Churned"))))</f>
        <v>No Won Business</v>
      </c>
    </row>
    <row r="248" customFormat="false" ht="15" hidden="false" customHeight="false" outlineLevel="0" collapsed="false">
      <c r="A248" s="7" t="s">
        <v>141</v>
      </c>
      <c r="B248" s="7" t="s">
        <v>142</v>
      </c>
      <c r="C248" s="7" t="s">
        <v>104</v>
      </c>
      <c r="D248" s="7" t="s">
        <v>105</v>
      </c>
      <c r="E248" s="7" t="n">
        <f aca="false">COUNTIF(Closed_Deals!$B$2:$B$761,A248)</f>
        <v>4</v>
      </c>
      <c r="F248" s="7" t="n">
        <f aca="false">COUNTIFS(Closed_Deals!$B$2:$B$761,A248,Closed_Deals!$N$2:$N$761,"Won")</f>
        <v>2</v>
      </c>
      <c r="G248" s="7" t="n">
        <f aca="false">E248-F248</f>
        <v>2</v>
      </c>
      <c r="H248" s="11" t="n">
        <f aca="false">IFERROR(F248/E248,"")</f>
        <v>0.5</v>
      </c>
      <c r="I248" s="10" t="n">
        <f aca="false">SUMIFS(Closed_Deals!$M$2:$M$761,Closed_Deals!$B$2:$B$761,A248,Closed_Deals!$N$2:$N$761,"Won")</f>
        <v>269342.44</v>
      </c>
      <c r="J248" s="10" t="n">
        <f aca="false">IFERROR(I248/F248,"")</f>
        <v>134671.22</v>
      </c>
      <c r="K248" s="8" t="n">
        <f aca="false">IF(F248=0,"",_xlfn.MINIFS(Closed_Deals!$R$2:$R$761,Closed_Deals!$B$2:$B$761,A248,Closed_Deals!$N$2:$N$761,"Won"))</f>
        <v>45786</v>
      </c>
      <c r="L248" s="8" t="n">
        <f aca="false">IF(F248=0,"",_xlfn.MAXIFS(Closed_Deals!$R$2:$R$761,Closed_Deals!$B$2:$B$761,A248,Closed_Deals!$N$2:$N$761,"Won"))</f>
        <v>45883</v>
      </c>
      <c r="M248" s="7" t="n">
        <f aca="false">COUNTIF(Open_Pipeline!$B$2:$B$151,A248)</f>
        <v>2</v>
      </c>
      <c r="N248" s="10" t="n">
        <f aca="false">SUMIF(Open_Pipeline!$B$2:$B$151,A248,Open_Pipeline!$M$2:$M$151)</f>
        <v>304763.28</v>
      </c>
      <c r="O248" s="7" t="n">
        <f aca="true">IF(F248=0,"",TODAY()-L248)</f>
        <v>391</v>
      </c>
      <c r="P248" s="7" t="str">
        <f aca="false">IF(F248&gt;=2,"Yes","No")</f>
        <v>Yes</v>
      </c>
      <c r="Q248" s="7" t="str">
        <f aca="false">IF(F248=0,"No Won Business",IF(M248&gt;0,"Active - In Pipeline",IF(O248&lt;=365,"Active",IF(O248&lt;=545,"At Risk","Churned"))))</f>
        <v>Active - In Pipeline</v>
      </c>
    </row>
    <row r="249" customFormat="false" ht="15" hidden="false" customHeight="false" outlineLevel="0" collapsed="false">
      <c r="A249" s="7" t="s">
        <v>284</v>
      </c>
      <c r="B249" s="7" t="s">
        <v>285</v>
      </c>
      <c r="C249" s="7" t="s">
        <v>201</v>
      </c>
      <c r="D249" s="7" t="s">
        <v>105</v>
      </c>
      <c r="E249" s="7" t="n">
        <f aca="false">COUNTIF(Closed_Deals!$B$2:$B$761,A249)</f>
        <v>17</v>
      </c>
      <c r="F249" s="7" t="n">
        <f aca="false">COUNTIFS(Closed_Deals!$B$2:$B$761,A249,Closed_Deals!$N$2:$N$761,"Won")</f>
        <v>5</v>
      </c>
      <c r="G249" s="7" t="n">
        <f aca="false">E249-F249</f>
        <v>12</v>
      </c>
      <c r="H249" s="11" t="n">
        <f aca="false">IFERROR(F249/E249,"")</f>
        <v>0.294117647058824</v>
      </c>
      <c r="I249" s="10" t="n">
        <f aca="false">SUMIFS(Closed_Deals!$M$2:$M$761,Closed_Deals!$B$2:$B$761,A249,Closed_Deals!$N$2:$N$761,"Won")</f>
        <v>426034.88</v>
      </c>
      <c r="J249" s="10" t="n">
        <f aca="false">IFERROR(I249/F249,"")</f>
        <v>85206.976</v>
      </c>
      <c r="K249" s="8" t="n">
        <f aca="false">IF(F249=0,"",_xlfn.MINIFS(Closed_Deals!$R$2:$R$761,Closed_Deals!$B$2:$B$761,A249,Closed_Deals!$N$2:$N$761,"Won"))</f>
        <v>45607</v>
      </c>
      <c r="L249" s="8" t="n">
        <f aca="false">IF(F249=0,"",_xlfn.MAXIFS(Closed_Deals!$R$2:$R$761,Closed_Deals!$B$2:$B$761,A249,Closed_Deals!$N$2:$N$761,"Won"))</f>
        <v>46353</v>
      </c>
      <c r="M249" s="7" t="n">
        <f aca="false">COUNTIF(Open_Pipeline!$B$2:$B$151,A249)</f>
        <v>5</v>
      </c>
      <c r="N249" s="10" t="n">
        <f aca="false">SUMIF(Open_Pipeline!$B$2:$B$151,A249,Open_Pipeline!$M$2:$M$151)</f>
        <v>525557.78</v>
      </c>
      <c r="O249" s="7" t="n">
        <f aca="true">IF(F249=0,"",TODAY()-L249)</f>
        <v>-79</v>
      </c>
      <c r="P249" s="7" t="str">
        <f aca="false">IF(F249&gt;=2,"Yes","No")</f>
        <v>Yes</v>
      </c>
      <c r="Q249" s="7" t="str">
        <f aca="false">IF(F249=0,"No Won Business",IF(M249&gt;0,"Active - In Pipeline",IF(O249&lt;=365,"Active",IF(O249&lt;=545,"At Risk","Churned"))))</f>
        <v>Active - In Pipeline</v>
      </c>
    </row>
    <row r="250" customFormat="false" ht="15" hidden="false" customHeight="false" outlineLevel="0" collapsed="false">
      <c r="A250" s="7" t="s">
        <v>226</v>
      </c>
      <c r="B250" s="7" t="s">
        <v>227</v>
      </c>
      <c r="C250" s="7" t="s">
        <v>93</v>
      </c>
      <c r="D250" s="7" t="s">
        <v>105</v>
      </c>
      <c r="E250" s="7" t="n">
        <f aca="false">COUNTIF(Closed_Deals!$B$2:$B$761,A250)</f>
        <v>10</v>
      </c>
      <c r="F250" s="7" t="n">
        <f aca="false">COUNTIFS(Closed_Deals!$B$2:$B$761,A250,Closed_Deals!$N$2:$N$761,"Won")</f>
        <v>3</v>
      </c>
      <c r="G250" s="7" t="n">
        <f aca="false">E250-F250</f>
        <v>7</v>
      </c>
      <c r="H250" s="11" t="n">
        <f aca="false">IFERROR(F250/E250,"")</f>
        <v>0.3</v>
      </c>
      <c r="I250" s="10" t="n">
        <f aca="false">SUMIFS(Closed_Deals!$M$2:$M$761,Closed_Deals!$B$2:$B$761,A250,Closed_Deals!$N$2:$N$761,"Won")</f>
        <v>435463.84</v>
      </c>
      <c r="J250" s="10" t="n">
        <f aca="false">IFERROR(I250/F250,"")</f>
        <v>145154.613333333</v>
      </c>
      <c r="K250" s="8" t="n">
        <f aca="false">IF(F250=0,"",_xlfn.MINIFS(Closed_Deals!$R$2:$R$761,Closed_Deals!$B$2:$B$761,A250,Closed_Deals!$N$2:$N$761,"Won"))</f>
        <v>45605</v>
      </c>
      <c r="L250" s="8" t="n">
        <f aca="false">IF(F250=0,"",_xlfn.MAXIFS(Closed_Deals!$R$2:$R$761,Closed_Deals!$B$2:$B$761,A250,Closed_Deals!$N$2:$N$761,"Won"))</f>
        <v>46292</v>
      </c>
      <c r="M250" s="7" t="n">
        <f aca="false">COUNTIF(Open_Pipeline!$B$2:$B$151,A250)</f>
        <v>3</v>
      </c>
      <c r="N250" s="10" t="n">
        <f aca="false">SUMIF(Open_Pipeline!$B$2:$B$151,A250,Open_Pipeline!$M$2:$M$151)</f>
        <v>290739.38</v>
      </c>
      <c r="O250" s="7" t="n">
        <f aca="true">IF(F250=0,"",TODAY()-L250)</f>
        <v>-18</v>
      </c>
      <c r="P250" s="7" t="str">
        <f aca="false">IF(F250&gt;=2,"Yes","No")</f>
        <v>Yes</v>
      </c>
      <c r="Q250" s="7" t="str">
        <f aca="false">IF(F250=0,"No Won Business",IF(M250&gt;0,"Active - In Pipeline",IF(O250&lt;=365,"Active",IF(O250&lt;=545,"At Risk","Churned"))))</f>
        <v>Active - In Pipeline</v>
      </c>
    </row>
    <row r="251" customFormat="false" ht="15" hidden="false" customHeight="false" outlineLevel="0" collapsed="false">
      <c r="A251" s="7" t="s">
        <v>1616</v>
      </c>
      <c r="B251" s="7" t="s">
        <v>1617</v>
      </c>
      <c r="C251" s="7" t="s">
        <v>201</v>
      </c>
      <c r="D251" s="7" t="s">
        <v>94</v>
      </c>
      <c r="E251" s="7" t="n">
        <f aca="false">COUNTIF(Closed_Deals!$B$2:$B$761,A251)</f>
        <v>0</v>
      </c>
      <c r="F251" s="7" t="n">
        <f aca="false">COUNTIFS(Closed_Deals!$B$2:$B$761,A251,Closed_Deals!$N$2:$N$761,"Won")</f>
        <v>0</v>
      </c>
      <c r="G251" s="7" t="n">
        <f aca="false">E251-F251</f>
        <v>0</v>
      </c>
      <c r="H251" s="11" t="str">
        <f aca="false">IFERROR(F251/E251,"")</f>
        <v/>
      </c>
      <c r="I251" s="10" t="n">
        <f aca="false">SUMIFS(Closed_Deals!$M$2:$M$761,Closed_Deals!$B$2:$B$761,A251,Closed_Deals!$N$2:$N$761,"Won")</f>
        <v>0</v>
      </c>
      <c r="J251" s="10" t="str">
        <f aca="false">IFERROR(I251/F251,"")</f>
        <v/>
      </c>
      <c r="K251" s="8" t="str">
        <f aca="false">IF(F251=0,"",_xlfn.MINIFS(Closed_Deals!$R$2:$R$761,Closed_Deals!$B$2:$B$761,A251,Closed_Deals!$N$2:$N$761,"Won"))</f>
        <v/>
      </c>
      <c r="L251" s="8" t="str">
        <f aca="false">IF(F251=0,"",_xlfn.MAXIFS(Closed_Deals!$R$2:$R$761,Closed_Deals!$B$2:$B$761,A251,Closed_Deals!$N$2:$N$761,"Won"))</f>
        <v/>
      </c>
      <c r="M251" s="7" t="n">
        <f aca="false">COUNTIF(Open_Pipeline!$B$2:$B$151,A251)</f>
        <v>0</v>
      </c>
      <c r="N251" s="10" t="n">
        <f aca="false">SUMIF(Open_Pipeline!$B$2:$B$151,A251,Open_Pipeline!$M$2:$M$151)</f>
        <v>0</v>
      </c>
      <c r="O251" s="7" t="str">
        <f aca="true">IF(F251=0,"",TODAY()-L251)</f>
        <v/>
      </c>
      <c r="P251" s="7" t="str">
        <f aca="false">IF(F251&gt;=2,"Yes","No")</f>
        <v>No</v>
      </c>
      <c r="Q251" s="7" t="str">
        <f aca="false">IF(F251=0,"No Won Business",IF(M251&gt;0,"Active - In Pipeline",IF(O251&lt;=365,"Active",IF(O251&lt;=545,"At Risk","Churned"))))</f>
        <v>No Won Business</v>
      </c>
    </row>
    <row r="252" customFormat="false" ht="15" hidden="false" customHeight="false" outlineLevel="0" collapsed="false">
      <c r="A252" s="7" t="s">
        <v>1241</v>
      </c>
      <c r="B252" s="7" t="s">
        <v>1242</v>
      </c>
      <c r="C252" s="7" t="s">
        <v>195</v>
      </c>
      <c r="D252" s="7" t="s">
        <v>162</v>
      </c>
      <c r="E252" s="7" t="n">
        <f aca="false">COUNTIF(Closed_Deals!$B$2:$B$761,A252)</f>
        <v>1</v>
      </c>
      <c r="F252" s="7" t="n">
        <f aca="false">COUNTIFS(Closed_Deals!$B$2:$B$761,A252,Closed_Deals!$N$2:$N$761,"Won")</f>
        <v>0</v>
      </c>
      <c r="G252" s="7" t="n">
        <f aca="false">E252-F252</f>
        <v>1</v>
      </c>
      <c r="H252" s="11" t="n">
        <f aca="false">IFERROR(F252/E252,"")</f>
        <v>0</v>
      </c>
      <c r="I252" s="10" t="n">
        <f aca="false">SUMIFS(Closed_Deals!$M$2:$M$761,Closed_Deals!$B$2:$B$761,A252,Closed_Deals!$N$2:$N$761,"Won")</f>
        <v>0</v>
      </c>
      <c r="J252" s="10" t="str">
        <f aca="false">IFERROR(I252/F252,"")</f>
        <v/>
      </c>
      <c r="K252" s="8" t="str">
        <f aca="false">IF(F252=0,"",_xlfn.MINIFS(Closed_Deals!$R$2:$R$761,Closed_Deals!$B$2:$B$761,A252,Closed_Deals!$N$2:$N$761,"Won"))</f>
        <v/>
      </c>
      <c r="L252" s="8" t="str">
        <f aca="false">IF(F252=0,"",_xlfn.MAXIFS(Closed_Deals!$R$2:$R$761,Closed_Deals!$B$2:$B$761,A252,Closed_Deals!$N$2:$N$761,"Won"))</f>
        <v/>
      </c>
      <c r="M252" s="7" t="n">
        <f aca="false">COUNTIF(Open_Pipeline!$B$2:$B$151,A252)</f>
        <v>0</v>
      </c>
      <c r="N252" s="10" t="n">
        <f aca="false">SUMIF(Open_Pipeline!$B$2:$B$151,A252,Open_Pipeline!$M$2:$M$151)</f>
        <v>0</v>
      </c>
      <c r="O252" s="7" t="str">
        <f aca="true">IF(F252=0,"",TODAY()-L252)</f>
        <v/>
      </c>
      <c r="P252" s="7" t="str">
        <f aca="false">IF(F252&gt;=2,"Yes","No")</f>
        <v>No</v>
      </c>
      <c r="Q252" s="7" t="str">
        <f aca="false">IF(F252=0,"No Won Business",IF(M252&gt;0,"Active - In Pipeline",IF(O252&lt;=365,"Active",IF(O252&lt;=545,"At Risk","Churned"))))</f>
        <v>No Won Business</v>
      </c>
    </row>
    <row r="253" customFormat="false" ht="15" hidden="false" customHeight="false" outlineLevel="0" collapsed="false">
      <c r="A253" s="7" t="s">
        <v>904</v>
      </c>
      <c r="B253" s="7" t="s">
        <v>905</v>
      </c>
      <c r="C253" s="7" t="s">
        <v>201</v>
      </c>
      <c r="D253" s="7" t="s">
        <v>94</v>
      </c>
      <c r="E253" s="7" t="n">
        <f aca="false">COUNTIF(Closed_Deals!$B$2:$B$761,A253)</f>
        <v>2</v>
      </c>
      <c r="F253" s="7" t="n">
        <f aca="false">COUNTIFS(Closed_Deals!$B$2:$B$761,A253,Closed_Deals!$N$2:$N$761,"Won")</f>
        <v>0</v>
      </c>
      <c r="G253" s="7" t="n">
        <f aca="false">E253-F253</f>
        <v>2</v>
      </c>
      <c r="H253" s="11" t="n">
        <f aca="false">IFERROR(F253/E253,"")</f>
        <v>0</v>
      </c>
      <c r="I253" s="10" t="n">
        <f aca="false">SUMIFS(Closed_Deals!$M$2:$M$761,Closed_Deals!$B$2:$B$761,A253,Closed_Deals!$N$2:$N$761,"Won")</f>
        <v>0</v>
      </c>
      <c r="J253" s="10" t="str">
        <f aca="false">IFERROR(I253/F253,"")</f>
        <v/>
      </c>
      <c r="K253" s="8" t="str">
        <f aca="false">IF(F253=0,"",_xlfn.MINIFS(Closed_Deals!$R$2:$R$761,Closed_Deals!$B$2:$B$761,A253,Closed_Deals!$N$2:$N$761,"Won"))</f>
        <v/>
      </c>
      <c r="L253" s="8" t="str">
        <f aca="false">IF(F253=0,"",_xlfn.MAXIFS(Closed_Deals!$R$2:$R$761,Closed_Deals!$B$2:$B$761,A253,Closed_Deals!$N$2:$N$761,"Won"))</f>
        <v/>
      </c>
      <c r="M253" s="7" t="n">
        <f aca="false">COUNTIF(Open_Pipeline!$B$2:$B$151,A253)</f>
        <v>1</v>
      </c>
      <c r="N253" s="10" t="n">
        <f aca="false">SUMIF(Open_Pipeline!$B$2:$B$151,A253,Open_Pipeline!$M$2:$M$151)</f>
        <v>73502.82</v>
      </c>
      <c r="O253" s="7" t="str">
        <f aca="true">IF(F253=0,"",TODAY()-L253)</f>
        <v/>
      </c>
      <c r="P253" s="7" t="str">
        <f aca="false">IF(F253&gt;=2,"Yes","No")</f>
        <v>No</v>
      </c>
      <c r="Q253" s="7" t="str">
        <f aca="false">IF(F253=0,"No Won Business",IF(M253&gt;0,"Active - In Pipeline",IF(O253&lt;=365,"Active",IF(O253&lt;=545,"At Risk","Churned"))))</f>
        <v>No Won Business</v>
      </c>
    </row>
    <row r="254" customFormat="false" ht="15" hidden="false" customHeight="false" outlineLevel="0" collapsed="false">
      <c r="A254" s="7" t="s">
        <v>1618</v>
      </c>
      <c r="B254" s="7" t="s">
        <v>1619</v>
      </c>
      <c r="C254" s="7" t="s">
        <v>104</v>
      </c>
      <c r="D254" s="7" t="s">
        <v>162</v>
      </c>
      <c r="E254" s="7" t="n">
        <f aca="false">COUNTIF(Closed_Deals!$B$2:$B$761,A254)</f>
        <v>0</v>
      </c>
      <c r="F254" s="7" t="n">
        <f aca="false">COUNTIFS(Closed_Deals!$B$2:$B$761,A254,Closed_Deals!$N$2:$N$761,"Won")</f>
        <v>0</v>
      </c>
      <c r="G254" s="7" t="n">
        <f aca="false">E254-F254</f>
        <v>0</v>
      </c>
      <c r="H254" s="11" t="str">
        <f aca="false">IFERROR(F254/E254,"")</f>
        <v/>
      </c>
      <c r="I254" s="10" t="n">
        <f aca="false">SUMIFS(Closed_Deals!$M$2:$M$761,Closed_Deals!$B$2:$B$761,A254,Closed_Deals!$N$2:$N$761,"Won")</f>
        <v>0</v>
      </c>
      <c r="J254" s="10" t="str">
        <f aca="false">IFERROR(I254/F254,"")</f>
        <v/>
      </c>
      <c r="K254" s="8" t="str">
        <f aca="false">IF(F254=0,"",_xlfn.MINIFS(Closed_Deals!$R$2:$R$761,Closed_Deals!$B$2:$B$761,A254,Closed_Deals!$N$2:$N$761,"Won"))</f>
        <v/>
      </c>
      <c r="L254" s="8" t="str">
        <f aca="false">IF(F254=0,"",_xlfn.MAXIFS(Closed_Deals!$R$2:$R$761,Closed_Deals!$B$2:$B$761,A254,Closed_Deals!$N$2:$N$761,"Won"))</f>
        <v/>
      </c>
      <c r="M254" s="7" t="n">
        <f aca="false">COUNTIF(Open_Pipeline!$B$2:$B$151,A254)</f>
        <v>0</v>
      </c>
      <c r="N254" s="10" t="n">
        <f aca="false">SUMIF(Open_Pipeline!$B$2:$B$151,A254,Open_Pipeline!$M$2:$M$151)</f>
        <v>0</v>
      </c>
      <c r="O254" s="7" t="str">
        <f aca="true">IF(F254=0,"",TODAY()-L254)</f>
        <v/>
      </c>
      <c r="P254" s="7" t="str">
        <f aca="false">IF(F254&gt;=2,"Yes","No")</f>
        <v>No</v>
      </c>
      <c r="Q254" s="7" t="str">
        <f aca="false">IF(F254=0,"No Won Business",IF(M254&gt;0,"Active - In Pipeline",IF(O254&lt;=365,"Active",IF(O254&lt;=545,"At Risk","Churned"))))</f>
        <v>No Won Business</v>
      </c>
    </row>
    <row r="255" customFormat="false" ht="15" hidden="false" customHeight="false" outlineLevel="0" collapsed="false">
      <c r="A255" s="7" t="s">
        <v>929</v>
      </c>
      <c r="B255" s="7" t="s">
        <v>930</v>
      </c>
      <c r="C255" s="7" t="s">
        <v>151</v>
      </c>
      <c r="D255" s="7" t="s">
        <v>115</v>
      </c>
      <c r="E255" s="7" t="n">
        <f aca="false">COUNTIF(Closed_Deals!$B$2:$B$761,A255)</f>
        <v>1</v>
      </c>
      <c r="F255" s="7" t="n">
        <f aca="false">COUNTIFS(Closed_Deals!$B$2:$B$761,A255,Closed_Deals!$N$2:$N$761,"Won")</f>
        <v>0</v>
      </c>
      <c r="G255" s="7" t="n">
        <f aca="false">E255-F255</f>
        <v>1</v>
      </c>
      <c r="H255" s="11" t="n">
        <f aca="false">IFERROR(F255/E255,"")</f>
        <v>0</v>
      </c>
      <c r="I255" s="10" t="n">
        <f aca="false">SUMIFS(Closed_Deals!$M$2:$M$761,Closed_Deals!$B$2:$B$761,A255,Closed_Deals!$N$2:$N$761,"Won")</f>
        <v>0</v>
      </c>
      <c r="J255" s="10" t="str">
        <f aca="false">IFERROR(I255/F255,"")</f>
        <v/>
      </c>
      <c r="K255" s="8" t="str">
        <f aca="false">IF(F255=0,"",_xlfn.MINIFS(Closed_Deals!$R$2:$R$761,Closed_Deals!$B$2:$B$761,A255,Closed_Deals!$N$2:$N$761,"Won"))</f>
        <v/>
      </c>
      <c r="L255" s="8" t="str">
        <f aca="false">IF(F255=0,"",_xlfn.MAXIFS(Closed_Deals!$R$2:$R$761,Closed_Deals!$B$2:$B$761,A255,Closed_Deals!$N$2:$N$761,"Won"))</f>
        <v/>
      </c>
      <c r="M255" s="7" t="n">
        <f aca="false">COUNTIF(Open_Pipeline!$B$2:$B$151,A255)</f>
        <v>2</v>
      </c>
      <c r="N255" s="10" t="n">
        <f aca="false">SUMIF(Open_Pipeline!$B$2:$B$151,A255,Open_Pipeline!$M$2:$M$151)</f>
        <v>118014.52</v>
      </c>
      <c r="O255" s="7" t="str">
        <f aca="true">IF(F255=0,"",TODAY()-L255)</f>
        <v/>
      </c>
      <c r="P255" s="7" t="str">
        <f aca="false">IF(F255&gt;=2,"Yes","No")</f>
        <v>No</v>
      </c>
      <c r="Q255" s="7" t="str">
        <f aca="false">IF(F255=0,"No Won Business",IF(M255&gt;0,"Active - In Pipeline",IF(O255&lt;=365,"Active",IF(O255&lt;=545,"At Risk","Churned"))))</f>
        <v>No Won Business</v>
      </c>
    </row>
    <row r="256" customFormat="false" ht="15" hidden="false" customHeight="false" outlineLevel="0" collapsed="false">
      <c r="A256" s="7" t="s">
        <v>1311</v>
      </c>
      <c r="B256" s="7" t="s">
        <v>1312</v>
      </c>
      <c r="C256" s="7" t="s">
        <v>201</v>
      </c>
      <c r="D256" s="7" t="s">
        <v>115</v>
      </c>
      <c r="E256" s="7" t="n">
        <f aca="false">COUNTIF(Closed_Deals!$B$2:$B$761,A256)</f>
        <v>0</v>
      </c>
      <c r="F256" s="7" t="n">
        <f aca="false">COUNTIFS(Closed_Deals!$B$2:$B$761,A256,Closed_Deals!$N$2:$N$761,"Won")</f>
        <v>0</v>
      </c>
      <c r="G256" s="7" t="n">
        <f aca="false">E256-F256</f>
        <v>0</v>
      </c>
      <c r="H256" s="11" t="str">
        <f aca="false">IFERROR(F256/E256,"")</f>
        <v/>
      </c>
      <c r="I256" s="10" t="n">
        <f aca="false">SUMIFS(Closed_Deals!$M$2:$M$761,Closed_Deals!$B$2:$B$761,A256,Closed_Deals!$N$2:$N$761,"Won")</f>
        <v>0</v>
      </c>
      <c r="J256" s="10" t="str">
        <f aca="false">IFERROR(I256/F256,"")</f>
        <v/>
      </c>
      <c r="K256" s="8" t="str">
        <f aca="false">IF(F256=0,"",_xlfn.MINIFS(Closed_Deals!$R$2:$R$761,Closed_Deals!$B$2:$B$761,A256,Closed_Deals!$N$2:$N$761,"Won"))</f>
        <v/>
      </c>
      <c r="L256" s="8" t="str">
        <f aca="false">IF(F256=0,"",_xlfn.MAXIFS(Closed_Deals!$R$2:$R$761,Closed_Deals!$B$2:$B$761,A256,Closed_Deals!$N$2:$N$761,"Won"))</f>
        <v/>
      </c>
      <c r="M256" s="7" t="n">
        <f aca="false">COUNTIF(Open_Pipeline!$B$2:$B$151,A256)</f>
        <v>1</v>
      </c>
      <c r="N256" s="10" t="n">
        <f aca="false">SUMIF(Open_Pipeline!$B$2:$B$151,A256,Open_Pipeline!$M$2:$M$151)</f>
        <v>289784.37</v>
      </c>
      <c r="O256" s="7" t="str">
        <f aca="true">IF(F256=0,"",TODAY()-L256)</f>
        <v/>
      </c>
      <c r="P256" s="7" t="str">
        <f aca="false">IF(F256&gt;=2,"Yes","No")</f>
        <v>No</v>
      </c>
      <c r="Q256" s="7" t="str">
        <f aca="false">IF(F256=0,"No Won Business",IF(M256&gt;0,"Active - In Pipeline",IF(O256&lt;=365,"Active",IF(O256&lt;=545,"At Risk","Churned"))))</f>
        <v>No Won Business</v>
      </c>
    </row>
    <row r="257" customFormat="false" ht="15" hidden="false" customHeight="false" outlineLevel="0" collapsed="false">
      <c r="A257" s="7" t="s">
        <v>1455</v>
      </c>
      <c r="B257" s="7" t="s">
        <v>1456</v>
      </c>
      <c r="C257" s="7" t="s">
        <v>114</v>
      </c>
      <c r="D257" s="7" t="s">
        <v>162</v>
      </c>
      <c r="E257" s="7" t="n">
        <f aca="false">COUNTIF(Closed_Deals!$B$2:$B$761,A257)</f>
        <v>0</v>
      </c>
      <c r="F257" s="7" t="n">
        <f aca="false">COUNTIFS(Closed_Deals!$B$2:$B$761,A257,Closed_Deals!$N$2:$N$761,"Won")</f>
        <v>0</v>
      </c>
      <c r="G257" s="7" t="n">
        <f aca="false">E257-F257</f>
        <v>0</v>
      </c>
      <c r="H257" s="11" t="str">
        <f aca="false">IFERROR(F257/E257,"")</f>
        <v/>
      </c>
      <c r="I257" s="10" t="n">
        <f aca="false">SUMIFS(Closed_Deals!$M$2:$M$761,Closed_Deals!$B$2:$B$761,A257,Closed_Deals!$N$2:$N$761,"Won")</f>
        <v>0</v>
      </c>
      <c r="J257" s="10" t="str">
        <f aca="false">IFERROR(I257/F257,"")</f>
        <v/>
      </c>
      <c r="K257" s="8" t="str">
        <f aca="false">IF(F257=0,"",_xlfn.MINIFS(Closed_Deals!$R$2:$R$761,Closed_Deals!$B$2:$B$761,A257,Closed_Deals!$N$2:$N$761,"Won"))</f>
        <v/>
      </c>
      <c r="L257" s="8" t="str">
        <f aca="false">IF(F257=0,"",_xlfn.MAXIFS(Closed_Deals!$R$2:$R$761,Closed_Deals!$B$2:$B$761,A257,Closed_Deals!$N$2:$N$761,"Won"))</f>
        <v/>
      </c>
      <c r="M257" s="7" t="n">
        <f aca="false">COUNTIF(Open_Pipeline!$B$2:$B$151,A257)</f>
        <v>1</v>
      </c>
      <c r="N257" s="10" t="n">
        <f aca="false">SUMIF(Open_Pipeline!$B$2:$B$151,A257,Open_Pipeline!$M$2:$M$151)</f>
        <v>65908.27</v>
      </c>
      <c r="O257" s="7" t="str">
        <f aca="true">IF(F257=0,"",TODAY()-L257)</f>
        <v/>
      </c>
      <c r="P257" s="7" t="str">
        <f aca="false">IF(F257&gt;=2,"Yes","No")</f>
        <v>No</v>
      </c>
      <c r="Q257" s="7" t="str">
        <f aca="false">IF(F257=0,"No Won Business",IF(M257&gt;0,"Active - In Pipeline",IF(O257&lt;=365,"Active",IF(O257&lt;=545,"At Risk","Churned"))))</f>
        <v>No Won Business</v>
      </c>
    </row>
    <row r="258" customFormat="false" ht="15" hidden="false" customHeight="false" outlineLevel="0" collapsed="false">
      <c r="A258" s="7" t="s">
        <v>409</v>
      </c>
      <c r="B258" s="7" t="s">
        <v>410</v>
      </c>
      <c r="C258" s="7" t="s">
        <v>114</v>
      </c>
      <c r="D258" s="7" t="s">
        <v>94</v>
      </c>
      <c r="E258" s="7" t="n">
        <f aca="false">COUNTIF(Closed_Deals!$B$2:$B$761,A258)</f>
        <v>7</v>
      </c>
      <c r="F258" s="7" t="n">
        <f aca="false">COUNTIFS(Closed_Deals!$B$2:$B$761,A258,Closed_Deals!$N$2:$N$761,"Won")</f>
        <v>0</v>
      </c>
      <c r="G258" s="7" t="n">
        <f aca="false">E258-F258</f>
        <v>7</v>
      </c>
      <c r="H258" s="11" t="n">
        <f aca="false">IFERROR(F258/E258,"")</f>
        <v>0</v>
      </c>
      <c r="I258" s="10" t="n">
        <f aca="false">SUMIFS(Closed_Deals!$M$2:$M$761,Closed_Deals!$B$2:$B$761,A258,Closed_Deals!$N$2:$N$761,"Won")</f>
        <v>0</v>
      </c>
      <c r="J258" s="10" t="str">
        <f aca="false">IFERROR(I258/F258,"")</f>
        <v/>
      </c>
      <c r="K258" s="8" t="str">
        <f aca="false">IF(F258=0,"",_xlfn.MINIFS(Closed_Deals!$R$2:$R$761,Closed_Deals!$B$2:$B$761,A258,Closed_Deals!$N$2:$N$761,"Won"))</f>
        <v/>
      </c>
      <c r="L258" s="8" t="str">
        <f aca="false">IF(F258=0,"",_xlfn.MAXIFS(Closed_Deals!$R$2:$R$761,Closed_Deals!$B$2:$B$761,A258,Closed_Deals!$N$2:$N$761,"Won"))</f>
        <v/>
      </c>
      <c r="M258" s="7" t="n">
        <f aca="false">COUNTIF(Open_Pipeline!$B$2:$B$151,A258)</f>
        <v>0</v>
      </c>
      <c r="N258" s="10" t="n">
        <f aca="false">SUMIF(Open_Pipeline!$B$2:$B$151,A258,Open_Pipeline!$M$2:$M$151)</f>
        <v>0</v>
      </c>
      <c r="O258" s="7" t="str">
        <f aca="true">IF(F258=0,"",TODAY()-L258)</f>
        <v/>
      </c>
      <c r="P258" s="7" t="str">
        <f aca="false">IF(F258&gt;=2,"Yes","No")</f>
        <v>No</v>
      </c>
      <c r="Q258" s="7" t="str">
        <f aca="false">IF(F258=0,"No Won Business",IF(M258&gt;0,"Active - In Pipeline",IF(O258&lt;=365,"Active",IF(O258&lt;=545,"At Risk","Churned"))))</f>
        <v>No Won Business</v>
      </c>
    </row>
    <row r="259" customFormat="false" ht="15" hidden="false" customHeight="false" outlineLevel="0" collapsed="false">
      <c r="A259" s="7" t="s">
        <v>551</v>
      </c>
      <c r="B259" s="7" t="s">
        <v>552</v>
      </c>
      <c r="C259" s="7" t="s">
        <v>242</v>
      </c>
      <c r="D259" s="7" t="s">
        <v>115</v>
      </c>
      <c r="E259" s="7" t="n">
        <f aca="false">COUNTIF(Closed_Deals!$B$2:$B$761,A259)</f>
        <v>1</v>
      </c>
      <c r="F259" s="7" t="n">
        <f aca="false">COUNTIFS(Closed_Deals!$B$2:$B$761,A259,Closed_Deals!$N$2:$N$761,"Won")</f>
        <v>1</v>
      </c>
      <c r="G259" s="7" t="n">
        <f aca="false">E259-F259</f>
        <v>0</v>
      </c>
      <c r="H259" s="11" t="n">
        <f aca="false">IFERROR(F259/E259,"")</f>
        <v>1</v>
      </c>
      <c r="I259" s="10" t="n">
        <f aca="false">SUMIFS(Closed_Deals!$M$2:$M$761,Closed_Deals!$B$2:$B$761,A259,Closed_Deals!$N$2:$N$761,"Won")</f>
        <v>63999.82</v>
      </c>
      <c r="J259" s="10" t="n">
        <f aca="false">IFERROR(I259/F259,"")</f>
        <v>63999.82</v>
      </c>
      <c r="K259" s="8" t="n">
        <f aca="false">IF(F259=0,"",_xlfn.MINIFS(Closed_Deals!$R$2:$R$761,Closed_Deals!$B$2:$B$761,A259,Closed_Deals!$N$2:$N$761,"Won"))</f>
        <v>45788</v>
      </c>
      <c r="L259" s="8" t="n">
        <f aca="false">IF(F259=0,"",_xlfn.MAXIFS(Closed_Deals!$R$2:$R$761,Closed_Deals!$B$2:$B$761,A259,Closed_Deals!$N$2:$N$761,"Won"))</f>
        <v>45788</v>
      </c>
      <c r="M259" s="7" t="n">
        <f aca="false">COUNTIF(Open_Pipeline!$B$2:$B$151,A259)</f>
        <v>0</v>
      </c>
      <c r="N259" s="10" t="n">
        <f aca="false">SUMIF(Open_Pipeline!$B$2:$B$151,A259,Open_Pipeline!$M$2:$M$151)</f>
        <v>0</v>
      </c>
      <c r="O259" s="7" t="n">
        <f aca="true">IF(F259=0,"",TODAY()-L259)</f>
        <v>486</v>
      </c>
      <c r="P259" s="7" t="str">
        <f aca="false">IF(F259&gt;=2,"Yes","No")</f>
        <v>No</v>
      </c>
      <c r="Q259" s="7" t="str">
        <f aca="false">IF(F259=0,"No Won Business",IF(M259&gt;0,"Active - In Pipeline",IF(O259&lt;=365,"Active",IF(O259&lt;=545,"At Risk","Churned"))))</f>
        <v>At Risk</v>
      </c>
    </row>
    <row r="260" customFormat="false" ht="15" hidden="false" customHeight="false" outlineLevel="0" collapsed="false">
      <c r="A260" s="7" t="s">
        <v>653</v>
      </c>
      <c r="B260" s="7" t="s">
        <v>654</v>
      </c>
      <c r="C260" s="7" t="s">
        <v>195</v>
      </c>
      <c r="D260" s="7" t="s">
        <v>115</v>
      </c>
      <c r="E260" s="7" t="n">
        <f aca="false">COUNTIF(Closed_Deals!$B$2:$B$761,A260)</f>
        <v>1</v>
      </c>
      <c r="F260" s="7" t="n">
        <f aca="false">COUNTIFS(Closed_Deals!$B$2:$B$761,A260,Closed_Deals!$N$2:$N$761,"Won")</f>
        <v>1</v>
      </c>
      <c r="G260" s="7" t="n">
        <f aca="false">E260-F260</f>
        <v>0</v>
      </c>
      <c r="H260" s="11" t="n">
        <f aca="false">IFERROR(F260/E260,"")</f>
        <v>1</v>
      </c>
      <c r="I260" s="10" t="n">
        <f aca="false">SUMIFS(Closed_Deals!$M$2:$M$761,Closed_Deals!$B$2:$B$761,A260,Closed_Deals!$N$2:$N$761,"Won")</f>
        <v>121692.19</v>
      </c>
      <c r="J260" s="10" t="n">
        <f aca="false">IFERROR(I260/F260,"")</f>
        <v>121692.19</v>
      </c>
      <c r="K260" s="8" t="n">
        <f aca="false">IF(F260=0,"",_xlfn.MINIFS(Closed_Deals!$R$2:$R$761,Closed_Deals!$B$2:$B$761,A260,Closed_Deals!$N$2:$N$761,"Won"))</f>
        <v>45763</v>
      </c>
      <c r="L260" s="8" t="n">
        <f aca="false">IF(F260=0,"",_xlfn.MAXIFS(Closed_Deals!$R$2:$R$761,Closed_Deals!$B$2:$B$761,A260,Closed_Deals!$N$2:$N$761,"Won"))</f>
        <v>45763</v>
      </c>
      <c r="M260" s="7" t="n">
        <f aca="false">COUNTIF(Open_Pipeline!$B$2:$B$151,A260)</f>
        <v>0</v>
      </c>
      <c r="N260" s="10" t="n">
        <f aca="false">SUMIF(Open_Pipeline!$B$2:$B$151,A260,Open_Pipeline!$M$2:$M$151)</f>
        <v>0</v>
      </c>
      <c r="O260" s="7" t="n">
        <f aca="true">IF(F260=0,"",TODAY()-L260)</f>
        <v>511</v>
      </c>
      <c r="P260" s="7" t="str">
        <f aca="false">IF(F260&gt;=2,"Yes","No")</f>
        <v>No</v>
      </c>
      <c r="Q260" s="7" t="str">
        <f aca="false">IF(F260=0,"No Won Business",IF(M260&gt;0,"Active - In Pipeline",IF(O260&lt;=365,"Active",IF(O260&lt;=545,"At Risk","Churned"))))</f>
        <v>At Risk</v>
      </c>
    </row>
    <row r="261" customFormat="false" ht="15" hidden="false" customHeight="false" outlineLevel="0" collapsed="false">
      <c r="A261" s="7" t="s">
        <v>437</v>
      </c>
      <c r="B261" s="7" t="s">
        <v>438</v>
      </c>
      <c r="C261" s="7" t="s">
        <v>104</v>
      </c>
      <c r="D261" s="7" t="s">
        <v>94</v>
      </c>
      <c r="E261" s="7" t="n">
        <f aca="false">COUNTIF(Closed_Deals!$B$2:$B$761,A261)</f>
        <v>3</v>
      </c>
      <c r="F261" s="7" t="n">
        <f aca="false">COUNTIFS(Closed_Deals!$B$2:$B$761,A261,Closed_Deals!$N$2:$N$761,"Won")</f>
        <v>2</v>
      </c>
      <c r="G261" s="7" t="n">
        <f aca="false">E261-F261</f>
        <v>1</v>
      </c>
      <c r="H261" s="11" t="n">
        <f aca="false">IFERROR(F261/E261,"")</f>
        <v>0.666666666666667</v>
      </c>
      <c r="I261" s="10" t="n">
        <f aca="false">SUMIFS(Closed_Deals!$M$2:$M$761,Closed_Deals!$B$2:$B$761,A261,Closed_Deals!$N$2:$N$761,"Won")</f>
        <v>139649.1</v>
      </c>
      <c r="J261" s="10" t="n">
        <f aca="false">IFERROR(I261/F261,"")</f>
        <v>69824.55</v>
      </c>
      <c r="K261" s="8" t="n">
        <f aca="false">IF(F261=0,"",_xlfn.MINIFS(Closed_Deals!$R$2:$R$761,Closed_Deals!$B$2:$B$761,A261,Closed_Deals!$N$2:$N$761,"Won"))</f>
        <v>45591</v>
      </c>
      <c r="L261" s="8" t="n">
        <f aca="false">IF(F261=0,"",_xlfn.MAXIFS(Closed_Deals!$R$2:$R$761,Closed_Deals!$B$2:$B$761,A261,Closed_Deals!$N$2:$N$761,"Won"))</f>
        <v>45834</v>
      </c>
      <c r="M261" s="7" t="n">
        <f aca="false">COUNTIF(Open_Pipeline!$B$2:$B$151,A261)</f>
        <v>3</v>
      </c>
      <c r="N261" s="10" t="n">
        <f aca="false">SUMIF(Open_Pipeline!$B$2:$B$151,A261,Open_Pipeline!$M$2:$M$151)</f>
        <v>175199.93</v>
      </c>
      <c r="O261" s="7" t="n">
        <f aca="true">IF(F261=0,"",TODAY()-L261)</f>
        <v>440</v>
      </c>
      <c r="P261" s="7" t="str">
        <f aca="false">IF(F261&gt;=2,"Yes","No")</f>
        <v>Yes</v>
      </c>
      <c r="Q261" s="7" t="str">
        <f aca="false">IF(F261=0,"No Won Business",IF(M261&gt;0,"Active - In Pipeline",IF(O261&lt;=365,"Active",IF(O261&lt;=545,"At Risk","Churned"))))</f>
        <v>Active - In Pipeline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7" min="6" style="0" width="10"/>
    <col collapsed="false" customWidth="true" hidden="false" outlineLevel="0" max="8" min="8" style="0" width="16"/>
    <col collapsed="false" customWidth="true" hidden="false" outlineLevel="0" max="9" min="9" style="0" width="20"/>
    <col collapsed="false" customWidth="true" hidden="false" outlineLevel="0" max="11" min="10" style="0" width="16"/>
  </cols>
  <sheetData>
    <row r="1" customFormat="false" ht="23.85" hidden="false" customHeight="false" outlineLevel="0" collapsed="false">
      <c r="A1" s="6" t="s">
        <v>1620</v>
      </c>
      <c r="B1" s="6" t="s">
        <v>1621</v>
      </c>
      <c r="C1" s="6" t="s">
        <v>84</v>
      </c>
      <c r="D1" s="6" t="s">
        <v>1622</v>
      </c>
      <c r="E1" s="6" t="s">
        <v>1623</v>
      </c>
      <c r="F1" s="6" t="s">
        <v>1476</v>
      </c>
      <c r="G1" s="6" t="s">
        <v>1478</v>
      </c>
      <c r="H1" s="6" t="s">
        <v>1479</v>
      </c>
      <c r="I1" s="6" t="s">
        <v>1624</v>
      </c>
      <c r="J1" s="6" t="s">
        <v>1483</v>
      </c>
      <c r="K1" s="6" t="s">
        <v>1484</v>
      </c>
    </row>
    <row r="2" customFormat="false" ht="15" hidden="false" customHeight="false" outlineLevel="0" collapsed="false">
      <c r="A2" s="7" t="s">
        <v>305</v>
      </c>
      <c r="B2" s="7" t="s">
        <v>306</v>
      </c>
      <c r="C2" s="7" t="s">
        <v>105</v>
      </c>
      <c r="D2" s="8" t="n">
        <v>45052</v>
      </c>
      <c r="E2" s="7" t="n">
        <f aca="false">COUNTIF(Closed_Deals!$H$2:$H$761,A2)</f>
        <v>43</v>
      </c>
      <c r="F2" s="7" t="n">
        <f aca="false">COUNTIFS(Closed_Deals!$H$2:$H$761,A2,Closed_Deals!$N$2:$N$761,"Won")</f>
        <v>12</v>
      </c>
      <c r="G2" s="11" t="n">
        <f aca="false">IFERROR(F2/E2,"")</f>
        <v>0.27906976744186</v>
      </c>
      <c r="H2" s="10" t="n">
        <f aca="false">SUMIFS(Closed_Deals!$M$2:$M$761,Closed_Deals!$H$2:$H$761,A2,Closed_Deals!$N$2:$N$761,"Won")</f>
        <v>1464172.34</v>
      </c>
      <c r="I2" s="12" t="n">
        <f aca="false">IFERROR(AVERAGEIFS(Closed_Deals!$L$2:$L$761,Closed_Deals!$H$2:$H$761,A2,Closed_Deals!$N$2:$N$761,"Won"),"")</f>
        <v>78.5833333333333</v>
      </c>
      <c r="J2" s="7" t="n">
        <f aca="false">COUNTIF(Open_Pipeline!$H$2:$H$151,A2)</f>
        <v>5</v>
      </c>
      <c r="K2" s="10" t="n">
        <f aca="false">SUMIF(Open_Pipeline!$H$2:$H$151,A2,Open_Pipeline!$M$2:$M$151)</f>
        <v>721771.77</v>
      </c>
    </row>
    <row r="3" customFormat="false" ht="15" hidden="false" customHeight="false" outlineLevel="0" collapsed="false">
      <c r="A3" s="7" t="s">
        <v>278</v>
      </c>
      <c r="B3" s="7" t="s">
        <v>279</v>
      </c>
      <c r="C3" s="7" t="s">
        <v>115</v>
      </c>
      <c r="D3" s="8" t="n">
        <v>45660</v>
      </c>
      <c r="E3" s="7" t="n">
        <f aca="false">COUNTIF(Closed_Deals!$H$2:$H$761,A3)</f>
        <v>31</v>
      </c>
      <c r="F3" s="7" t="n">
        <f aca="false">COUNTIFS(Closed_Deals!$H$2:$H$761,A3,Closed_Deals!$N$2:$N$761,"Won")</f>
        <v>12</v>
      </c>
      <c r="G3" s="11" t="n">
        <f aca="false">IFERROR(F3/E3,"")</f>
        <v>0.387096774193548</v>
      </c>
      <c r="H3" s="10" t="n">
        <f aca="false">SUMIFS(Closed_Deals!$M$2:$M$761,Closed_Deals!$H$2:$H$761,A3,Closed_Deals!$N$2:$N$761,"Won")</f>
        <v>1344949.96</v>
      </c>
      <c r="I3" s="12" t="n">
        <f aca="false">IFERROR(AVERAGEIFS(Closed_Deals!$L$2:$L$761,Closed_Deals!$H$2:$H$761,A3,Closed_Deals!$N$2:$N$761,"Won"),"")</f>
        <v>80.5</v>
      </c>
      <c r="J3" s="7" t="n">
        <f aca="false">COUNTIF(Open_Pipeline!$H$2:$H$151,A3)</f>
        <v>11</v>
      </c>
      <c r="K3" s="10" t="n">
        <f aca="false">SUMIF(Open_Pipeline!$H$2:$H$151,A3,Open_Pipeline!$M$2:$M$151)</f>
        <v>1394813.41</v>
      </c>
    </row>
    <row r="4" customFormat="false" ht="15" hidden="false" customHeight="false" outlineLevel="0" collapsed="false">
      <c r="A4" s="7" t="s">
        <v>205</v>
      </c>
      <c r="B4" s="7" t="s">
        <v>206</v>
      </c>
      <c r="C4" s="7" t="s">
        <v>162</v>
      </c>
      <c r="D4" s="8" t="n">
        <v>43701</v>
      </c>
      <c r="E4" s="7" t="n">
        <f aca="false">COUNTIF(Closed_Deals!$H$2:$H$761,A4)</f>
        <v>35</v>
      </c>
      <c r="F4" s="7" t="n">
        <f aca="false">COUNTIFS(Closed_Deals!$H$2:$H$761,A4,Closed_Deals!$N$2:$N$761,"Won")</f>
        <v>11</v>
      </c>
      <c r="G4" s="11" t="n">
        <f aca="false">IFERROR(F4/E4,"")</f>
        <v>0.314285714285714</v>
      </c>
      <c r="H4" s="10" t="n">
        <f aca="false">SUMIFS(Closed_Deals!$M$2:$M$761,Closed_Deals!$H$2:$H$761,A4,Closed_Deals!$N$2:$N$761,"Won")</f>
        <v>1240621.89</v>
      </c>
      <c r="I4" s="12" t="n">
        <f aca="false">IFERROR(AVERAGEIFS(Closed_Deals!$L$2:$L$761,Closed_Deals!$H$2:$H$761,A4,Closed_Deals!$N$2:$N$761,"Won"),"")</f>
        <v>83.6363636363636</v>
      </c>
      <c r="J4" s="7" t="n">
        <f aca="false">COUNTIF(Open_Pipeline!$H$2:$H$151,A4)</f>
        <v>9</v>
      </c>
      <c r="K4" s="10" t="n">
        <f aca="false">SUMIF(Open_Pipeline!$H$2:$H$151,A4,Open_Pipeline!$M$2:$M$151)</f>
        <v>751698.31</v>
      </c>
    </row>
    <row r="5" customFormat="false" ht="15" hidden="false" customHeight="false" outlineLevel="0" collapsed="false">
      <c r="A5" s="7" t="s">
        <v>122</v>
      </c>
      <c r="B5" s="7" t="s">
        <v>123</v>
      </c>
      <c r="C5" s="7" t="s">
        <v>94</v>
      </c>
      <c r="D5" s="8" t="n">
        <v>46009</v>
      </c>
      <c r="E5" s="7" t="n">
        <f aca="false">COUNTIF(Closed_Deals!$H$2:$H$761,A5)</f>
        <v>18</v>
      </c>
      <c r="F5" s="7" t="n">
        <f aca="false">COUNTIFS(Closed_Deals!$H$2:$H$761,A5,Closed_Deals!$N$2:$N$761,"Won")</f>
        <v>8</v>
      </c>
      <c r="G5" s="11" t="n">
        <f aca="false">IFERROR(F5/E5,"")</f>
        <v>0.444444444444444</v>
      </c>
      <c r="H5" s="10" t="n">
        <f aca="false">SUMIFS(Closed_Deals!$M$2:$M$761,Closed_Deals!$H$2:$H$761,A5,Closed_Deals!$N$2:$N$761,"Won")</f>
        <v>912807.47</v>
      </c>
      <c r="I5" s="12" t="n">
        <f aca="false">IFERROR(AVERAGEIFS(Closed_Deals!$L$2:$L$761,Closed_Deals!$H$2:$H$761,A5,Closed_Deals!$N$2:$N$761,"Won"),"")</f>
        <v>83.125</v>
      </c>
      <c r="J5" s="7" t="n">
        <f aca="false">COUNTIF(Open_Pipeline!$H$2:$H$151,A5)</f>
        <v>6</v>
      </c>
      <c r="K5" s="10" t="n">
        <f aca="false">SUMIF(Open_Pipeline!$H$2:$H$151,A5,Open_Pipeline!$M$2:$M$151)</f>
        <v>758026.98</v>
      </c>
    </row>
    <row r="6" customFormat="false" ht="15" hidden="false" customHeight="false" outlineLevel="0" collapsed="false">
      <c r="A6" s="7" t="s">
        <v>138</v>
      </c>
      <c r="B6" s="7" t="s">
        <v>139</v>
      </c>
      <c r="C6" s="7" t="s">
        <v>105</v>
      </c>
      <c r="D6" s="8" t="n">
        <v>45239</v>
      </c>
      <c r="E6" s="7" t="n">
        <f aca="false">COUNTIF(Closed_Deals!$H$2:$H$761,A6)</f>
        <v>30</v>
      </c>
      <c r="F6" s="7" t="n">
        <f aca="false">COUNTIFS(Closed_Deals!$H$2:$H$761,A6,Closed_Deals!$N$2:$N$761,"Won")</f>
        <v>8</v>
      </c>
      <c r="G6" s="11" t="n">
        <f aca="false">IFERROR(F6/E6,"")</f>
        <v>0.266666666666667</v>
      </c>
      <c r="H6" s="10" t="n">
        <f aca="false">SUMIFS(Closed_Deals!$M$2:$M$761,Closed_Deals!$H$2:$H$761,A6,Closed_Deals!$N$2:$N$761,"Won")</f>
        <v>870559.52</v>
      </c>
      <c r="I6" s="12" t="n">
        <f aca="false">IFERROR(AVERAGEIFS(Closed_Deals!$L$2:$L$761,Closed_Deals!$H$2:$H$761,A6,Closed_Deals!$N$2:$N$761,"Won"),"")</f>
        <v>83.375</v>
      </c>
      <c r="J6" s="7" t="n">
        <f aca="false">COUNTIF(Open_Pipeline!$H$2:$H$151,A6)</f>
        <v>4</v>
      </c>
      <c r="K6" s="10" t="n">
        <f aca="false">SUMIF(Open_Pipeline!$H$2:$H$151,A6,Open_Pipeline!$M$2:$M$151)</f>
        <v>250978.33</v>
      </c>
    </row>
    <row r="7" customFormat="false" ht="15" hidden="false" customHeight="false" outlineLevel="0" collapsed="false">
      <c r="A7" s="7" t="s">
        <v>402</v>
      </c>
      <c r="B7" s="7" t="s">
        <v>403</v>
      </c>
      <c r="C7" s="7" t="s">
        <v>115</v>
      </c>
      <c r="D7" s="8" t="n">
        <v>43482</v>
      </c>
      <c r="E7" s="7" t="n">
        <f aca="false">COUNTIF(Closed_Deals!$H$2:$H$761,A7)</f>
        <v>27</v>
      </c>
      <c r="F7" s="7" t="n">
        <f aca="false">COUNTIFS(Closed_Deals!$H$2:$H$761,A7,Closed_Deals!$N$2:$N$761,"Won")</f>
        <v>9</v>
      </c>
      <c r="G7" s="11" t="n">
        <f aca="false">IFERROR(F7/E7,"")</f>
        <v>0.333333333333333</v>
      </c>
      <c r="H7" s="10" t="n">
        <f aca="false">SUMIFS(Closed_Deals!$M$2:$M$761,Closed_Deals!$H$2:$H$761,A7,Closed_Deals!$N$2:$N$761,"Won")</f>
        <v>920988.18</v>
      </c>
      <c r="I7" s="12" t="n">
        <f aca="false">IFERROR(AVERAGEIFS(Closed_Deals!$L$2:$L$761,Closed_Deals!$H$2:$H$761,A7,Closed_Deals!$N$2:$N$761,"Won"),"")</f>
        <v>75.4444444444444</v>
      </c>
      <c r="J7" s="7" t="n">
        <f aca="false">COUNTIF(Open_Pipeline!$H$2:$H$151,A7)</f>
        <v>4</v>
      </c>
      <c r="K7" s="10" t="n">
        <f aca="false">SUMIF(Open_Pipeline!$H$2:$H$151,A7,Open_Pipeline!$M$2:$M$151)</f>
        <v>581785.88</v>
      </c>
    </row>
    <row r="8" customFormat="false" ht="15" hidden="false" customHeight="false" outlineLevel="0" collapsed="false">
      <c r="A8" s="7" t="s">
        <v>177</v>
      </c>
      <c r="B8" s="7" t="s">
        <v>178</v>
      </c>
      <c r="C8" s="7" t="s">
        <v>162</v>
      </c>
      <c r="D8" s="8" t="n">
        <v>44592</v>
      </c>
      <c r="E8" s="7" t="n">
        <f aca="false">COUNTIF(Closed_Deals!$H$2:$H$761,A8)</f>
        <v>35</v>
      </c>
      <c r="F8" s="7" t="n">
        <f aca="false">COUNTIFS(Closed_Deals!$H$2:$H$761,A8,Closed_Deals!$N$2:$N$761,"Won")</f>
        <v>6</v>
      </c>
      <c r="G8" s="11" t="n">
        <f aca="false">IFERROR(F8/E8,"")</f>
        <v>0.171428571428571</v>
      </c>
      <c r="H8" s="10" t="n">
        <f aca="false">SUMIFS(Closed_Deals!$M$2:$M$761,Closed_Deals!$H$2:$H$761,A8,Closed_Deals!$N$2:$N$761,"Won")</f>
        <v>511928.52</v>
      </c>
      <c r="I8" s="12" t="n">
        <f aca="false">IFERROR(AVERAGEIFS(Closed_Deals!$L$2:$L$761,Closed_Deals!$H$2:$H$761,A8,Closed_Deals!$N$2:$N$761,"Won"),"")</f>
        <v>76.6666666666667</v>
      </c>
      <c r="J8" s="7" t="n">
        <f aca="false">COUNTIF(Open_Pipeline!$H$2:$H$151,A8)</f>
        <v>9</v>
      </c>
      <c r="K8" s="10" t="n">
        <f aca="false">SUMIF(Open_Pipeline!$H$2:$H$151,A8,Open_Pipeline!$M$2:$M$151)</f>
        <v>760151.13</v>
      </c>
    </row>
    <row r="9" customFormat="false" ht="15" hidden="false" customHeight="false" outlineLevel="0" collapsed="false">
      <c r="A9" s="7" t="s">
        <v>166</v>
      </c>
      <c r="B9" s="7" t="s">
        <v>167</v>
      </c>
      <c r="C9" s="7" t="s">
        <v>94</v>
      </c>
      <c r="D9" s="8" t="n">
        <v>45863</v>
      </c>
      <c r="E9" s="7" t="n">
        <f aca="false">COUNTIF(Closed_Deals!$H$2:$H$761,A9)</f>
        <v>38</v>
      </c>
      <c r="F9" s="7" t="n">
        <f aca="false">COUNTIFS(Closed_Deals!$H$2:$H$761,A9,Closed_Deals!$N$2:$N$761,"Won")</f>
        <v>15</v>
      </c>
      <c r="G9" s="11" t="n">
        <f aca="false">IFERROR(F9/E9,"")</f>
        <v>0.394736842105263</v>
      </c>
      <c r="H9" s="10" t="n">
        <f aca="false">SUMIFS(Closed_Deals!$M$2:$M$761,Closed_Deals!$H$2:$H$761,A9,Closed_Deals!$N$2:$N$761,"Won")</f>
        <v>1796390.66</v>
      </c>
      <c r="I9" s="12" t="n">
        <f aca="false">IFERROR(AVERAGEIFS(Closed_Deals!$L$2:$L$761,Closed_Deals!$H$2:$H$761,A9,Closed_Deals!$N$2:$N$761,"Won"),"")</f>
        <v>80.1333333333333</v>
      </c>
      <c r="J9" s="7" t="n">
        <f aca="false">COUNTIF(Open_Pipeline!$H$2:$H$151,A9)</f>
        <v>3</v>
      </c>
      <c r="K9" s="10" t="n">
        <f aca="false">SUMIF(Open_Pipeline!$H$2:$H$151,A9,Open_Pipeline!$M$2:$M$151)</f>
        <v>492023.33</v>
      </c>
    </row>
    <row r="10" customFormat="false" ht="15" hidden="false" customHeight="false" outlineLevel="0" collapsed="false">
      <c r="A10" s="7" t="s">
        <v>108</v>
      </c>
      <c r="B10" s="7" t="s">
        <v>109</v>
      </c>
      <c r="C10" s="7" t="s">
        <v>105</v>
      </c>
      <c r="D10" s="8" t="n">
        <v>44300</v>
      </c>
      <c r="E10" s="7" t="n">
        <f aca="false">COUNTIF(Closed_Deals!$H$2:$H$761,A10)</f>
        <v>30</v>
      </c>
      <c r="F10" s="7" t="n">
        <f aca="false">COUNTIFS(Closed_Deals!$H$2:$H$761,A10,Closed_Deals!$N$2:$N$761,"Won")</f>
        <v>9</v>
      </c>
      <c r="G10" s="11" t="n">
        <f aca="false">IFERROR(F10/E10,"")</f>
        <v>0.3</v>
      </c>
      <c r="H10" s="10" t="n">
        <f aca="false">SUMIFS(Closed_Deals!$M$2:$M$761,Closed_Deals!$H$2:$H$761,A10,Closed_Deals!$N$2:$N$761,"Won")</f>
        <v>1075090.78</v>
      </c>
      <c r="I10" s="12" t="n">
        <f aca="false">IFERROR(AVERAGEIFS(Closed_Deals!$L$2:$L$761,Closed_Deals!$H$2:$H$761,A10,Closed_Deals!$N$2:$N$761,"Won"),"")</f>
        <v>86.4444444444444</v>
      </c>
      <c r="J10" s="7" t="n">
        <f aca="false">COUNTIF(Open_Pipeline!$H$2:$H$151,A10)</f>
        <v>8</v>
      </c>
      <c r="K10" s="10" t="n">
        <f aca="false">SUMIF(Open_Pipeline!$H$2:$H$151,A10,Open_Pipeline!$M$2:$M$151)</f>
        <v>1497383.43</v>
      </c>
    </row>
    <row r="11" customFormat="false" ht="15" hidden="false" customHeight="false" outlineLevel="0" collapsed="false">
      <c r="A11" s="7" t="s">
        <v>180</v>
      </c>
      <c r="B11" s="7" t="s">
        <v>181</v>
      </c>
      <c r="C11" s="7" t="s">
        <v>115</v>
      </c>
      <c r="D11" s="8" t="n">
        <v>44422</v>
      </c>
      <c r="E11" s="7" t="n">
        <f aca="false">COUNTIF(Closed_Deals!$H$2:$H$761,A11)</f>
        <v>32</v>
      </c>
      <c r="F11" s="7" t="n">
        <f aca="false">COUNTIFS(Closed_Deals!$H$2:$H$761,A11,Closed_Deals!$N$2:$N$761,"Won")</f>
        <v>10</v>
      </c>
      <c r="G11" s="11" t="n">
        <f aca="false">IFERROR(F11/E11,"")</f>
        <v>0.3125</v>
      </c>
      <c r="H11" s="10" t="n">
        <f aca="false">SUMIFS(Closed_Deals!$M$2:$M$761,Closed_Deals!$H$2:$H$761,A11,Closed_Deals!$N$2:$N$761,"Won")</f>
        <v>567713.5</v>
      </c>
      <c r="I11" s="12" t="n">
        <f aca="false">IFERROR(AVERAGEIFS(Closed_Deals!$L$2:$L$761,Closed_Deals!$H$2:$H$761,A11,Closed_Deals!$N$2:$N$761,"Won"),"")</f>
        <v>66.4</v>
      </c>
      <c r="J11" s="7" t="n">
        <f aca="false">COUNTIF(Open_Pipeline!$H$2:$H$151,A11)</f>
        <v>4</v>
      </c>
      <c r="K11" s="10" t="n">
        <f aca="false">SUMIF(Open_Pipeline!$H$2:$H$151,A11,Open_Pipeline!$M$2:$M$151)</f>
        <v>407936.12</v>
      </c>
    </row>
    <row r="12" customFormat="false" ht="15" hidden="false" customHeight="false" outlineLevel="0" collapsed="false">
      <c r="A12" s="7" t="s">
        <v>223</v>
      </c>
      <c r="B12" s="7" t="s">
        <v>224</v>
      </c>
      <c r="C12" s="7" t="s">
        <v>162</v>
      </c>
      <c r="D12" s="8" t="n">
        <v>43375</v>
      </c>
      <c r="E12" s="7" t="n">
        <f aca="false">COUNTIF(Closed_Deals!$H$2:$H$761,A12)</f>
        <v>33</v>
      </c>
      <c r="F12" s="7" t="n">
        <f aca="false">COUNTIFS(Closed_Deals!$H$2:$H$761,A12,Closed_Deals!$N$2:$N$761,"Won")</f>
        <v>9</v>
      </c>
      <c r="G12" s="11" t="n">
        <f aca="false">IFERROR(F12/E12,"")</f>
        <v>0.272727272727273</v>
      </c>
      <c r="H12" s="10" t="n">
        <f aca="false">SUMIFS(Closed_Deals!$M$2:$M$761,Closed_Deals!$H$2:$H$761,A12,Closed_Deals!$N$2:$N$761,"Won")</f>
        <v>1510405.92</v>
      </c>
      <c r="I12" s="12" t="n">
        <f aca="false">IFERROR(AVERAGEIFS(Closed_Deals!$L$2:$L$761,Closed_Deals!$H$2:$H$761,A12,Closed_Deals!$N$2:$N$761,"Won"),"")</f>
        <v>87.1111111111111</v>
      </c>
      <c r="J12" s="7" t="n">
        <f aca="false">COUNTIF(Open_Pipeline!$H$2:$H$151,A12)</f>
        <v>11</v>
      </c>
      <c r="K12" s="10" t="n">
        <f aca="false">SUMIF(Open_Pipeline!$H$2:$H$151,A12,Open_Pipeline!$M$2:$M$151)</f>
        <v>1203982.74</v>
      </c>
    </row>
    <row r="13" customFormat="false" ht="15" hidden="false" customHeight="false" outlineLevel="0" collapsed="false">
      <c r="A13" s="7" t="s">
        <v>213</v>
      </c>
      <c r="B13" s="7" t="s">
        <v>214</v>
      </c>
      <c r="C13" s="7" t="s">
        <v>94</v>
      </c>
      <c r="D13" s="8" t="n">
        <v>43291</v>
      </c>
      <c r="E13" s="7" t="n">
        <f aca="false">COUNTIF(Closed_Deals!$H$2:$H$761,A13)</f>
        <v>25</v>
      </c>
      <c r="F13" s="7" t="n">
        <f aca="false">COUNTIFS(Closed_Deals!$H$2:$H$761,A13,Closed_Deals!$N$2:$N$761,"Won")</f>
        <v>9</v>
      </c>
      <c r="G13" s="11" t="n">
        <f aca="false">IFERROR(F13/E13,"")</f>
        <v>0.36</v>
      </c>
      <c r="H13" s="10" t="n">
        <f aca="false">SUMIFS(Closed_Deals!$M$2:$M$761,Closed_Deals!$H$2:$H$761,A13,Closed_Deals!$N$2:$N$761,"Won")</f>
        <v>1020233.8</v>
      </c>
      <c r="I13" s="12" t="n">
        <f aca="false">IFERROR(AVERAGEIFS(Closed_Deals!$L$2:$L$761,Closed_Deals!$H$2:$H$761,A13,Closed_Deals!$N$2:$N$761,"Won"),"")</f>
        <v>67.8888888888889</v>
      </c>
      <c r="J13" s="7" t="n">
        <f aca="false">COUNTIF(Open_Pipeline!$H$2:$H$151,A13)</f>
        <v>4</v>
      </c>
      <c r="K13" s="10" t="n">
        <f aca="false">SUMIF(Open_Pipeline!$H$2:$H$151,A13,Open_Pipeline!$M$2:$M$151)</f>
        <v>347477.99</v>
      </c>
    </row>
    <row r="14" customFormat="false" ht="15" hidden="false" customHeight="false" outlineLevel="0" collapsed="false">
      <c r="A14" s="7" t="s">
        <v>231</v>
      </c>
      <c r="B14" s="7" t="s">
        <v>232</v>
      </c>
      <c r="C14" s="7" t="s">
        <v>105</v>
      </c>
      <c r="D14" s="8" t="n">
        <v>43926</v>
      </c>
      <c r="E14" s="7" t="n">
        <f aca="false">COUNTIF(Closed_Deals!$H$2:$H$761,A14)</f>
        <v>28</v>
      </c>
      <c r="F14" s="7" t="n">
        <f aca="false">COUNTIFS(Closed_Deals!$H$2:$H$761,A14,Closed_Deals!$N$2:$N$761,"Won")</f>
        <v>9</v>
      </c>
      <c r="G14" s="11" t="n">
        <f aca="false">IFERROR(F14/E14,"")</f>
        <v>0.321428571428571</v>
      </c>
      <c r="H14" s="10" t="n">
        <f aca="false">SUMIFS(Closed_Deals!$M$2:$M$761,Closed_Deals!$H$2:$H$761,A14,Closed_Deals!$N$2:$N$761,"Won")</f>
        <v>963189.87</v>
      </c>
      <c r="I14" s="12" t="n">
        <f aca="false">IFERROR(AVERAGEIFS(Closed_Deals!$L$2:$L$761,Closed_Deals!$H$2:$H$761,A14,Closed_Deals!$N$2:$N$761,"Won"),"")</f>
        <v>88.2222222222222</v>
      </c>
      <c r="J14" s="7" t="n">
        <f aca="false">COUNTIF(Open_Pipeline!$H$2:$H$151,A14)</f>
        <v>6</v>
      </c>
      <c r="K14" s="10" t="n">
        <f aca="false">SUMIF(Open_Pipeline!$H$2:$H$151,A14,Open_Pipeline!$M$2:$M$151)</f>
        <v>707422.67</v>
      </c>
    </row>
    <row r="15" customFormat="false" ht="15" hidden="false" customHeight="false" outlineLevel="0" collapsed="false">
      <c r="A15" s="7" t="s">
        <v>129</v>
      </c>
      <c r="B15" s="7" t="s">
        <v>130</v>
      </c>
      <c r="C15" s="7" t="s">
        <v>115</v>
      </c>
      <c r="D15" s="8" t="n">
        <v>45360</v>
      </c>
      <c r="E15" s="7" t="n">
        <f aca="false">COUNTIF(Closed_Deals!$H$2:$H$761,A15)</f>
        <v>28</v>
      </c>
      <c r="F15" s="7" t="n">
        <f aca="false">COUNTIFS(Closed_Deals!$H$2:$H$761,A15,Closed_Deals!$N$2:$N$761,"Won")</f>
        <v>6</v>
      </c>
      <c r="G15" s="11" t="n">
        <f aca="false">IFERROR(F15/E15,"")</f>
        <v>0.214285714285714</v>
      </c>
      <c r="H15" s="10" t="n">
        <f aca="false">SUMIFS(Closed_Deals!$M$2:$M$761,Closed_Deals!$H$2:$H$761,A15,Closed_Deals!$N$2:$N$761,"Won")</f>
        <v>390750.08</v>
      </c>
      <c r="I15" s="12" t="n">
        <f aca="false">IFERROR(AVERAGEIFS(Closed_Deals!$L$2:$L$761,Closed_Deals!$H$2:$H$761,A15,Closed_Deals!$N$2:$N$761,"Won"),"")</f>
        <v>67.6666666666667</v>
      </c>
      <c r="J15" s="7" t="n">
        <f aca="false">COUNTIF(Open_Pipeline!$H$2:$H$151,A15)</f>
        <v>4</v>
      </c>
      <c r="K15" s="10" t="n">
        <f aca="false">SUMIF(Open_Pipeline!$H$2:$H$151,A15,Open_Pipeline!$M$2:$M$151)</f>
        <v>419368.06</v>
      </c>
    </row>
    <row r="16" customFormat="false" ht="15" hidden="false" customHeight="false" outlineLevel="0" collapsed="false">
      <c r="A16" s="7" t="s">
        <v>281</v>
      </c>
      <c r="B16" s="7" t="s">
        <v>282</v>
      </c>
      <c r="C16" s="7" t="s">
        <v>162</v>
      </c>
      <c r="D16" s="8" t="n">
        <v>43303</v>
      </c>
      <c r="E16" s="7" t="n">
        <f aca="false">COUNTIF(Closed_Deals!$H$2:$H$761,A16)</f>
        <v>34</v>
      </c>
      <c r="F16" s="7" t="n">
        <f aca="false">COUNTIFS(Closed_Deals!$H$2:$H$761,A16,Closed_Deals!$N$2:$N$761,"Won")</f>
        <v>11</v>
      </c>
      <c r="G16" s="11" t="n">
        <f aca="false">IFERROR(F16/E16,"")</f>
        <v>0.323529411764706</v>
      </c>
      <c r="H16" s="10" t="n">
        <f aca="false">SUMIFS(Closed_Deals!$M$2:$M$761,Closed_Deals!$H$2:$H$761,A16,Closed_Deals!$N$2:$N$761,"Won")</f>
        <v>1549419.79</v>
      </c>
      <c r="I16" s="12" t="n">
        <f aca="false">IFERROR(AVERAGEIFS(Closed_Deals!$L$2:$L$761,Closed_Deals!$H$2:$H$761,A16,Closed_Deals!$N$2:$N$761,"Won"),"")</f>
        <v>82.7272727272727</v>
      </c>
      <c r="J16" s="7" t="n">
        <f aca="false">COUNTIF(Open_Pipeline!$H$2:$H$151,A16)</f>
        <v>9</v>
      </c>
      <c r="K16" s="10" t="n">
        <f aca="false">SUMIF(Open_Pipeline!$H$2:$H$151,A16,Open_Pipeline!$M$2:$M$151)</f>
        <v>1009849.08</v>
      </c>
    </row>
    <row r="17" customFormat="false" ht="15" hidden="false" customHeight="false" outlineLevel="0" collapsed="false">
      <c r="A17" s="7" t="s">
        <v>97</v>
      </c>
      <c r="B17" s="7" t="s">
        <v>98</v>
      </c>
      <c r="C17" s="7" t="s">
        <v>94</v>
      </c>
      <c r="D17" s="8" t="n">
        <v>45763</v>
      </c>
      <c r="E17" s="7" t="n">
        <f aca="false">COUNTIF(Closed_Deals!$H$2:$H$761,A17)</f>
        <v>32</v>
      </c>
      <c r="F17" s="7" t="n">
        <f aca="false">COUNTIFS(Closed_Deals!$H$2:$H$761,A17,Closed_Deals!$N$2:$N$761,"Won")</f>
        <v>8</v>
      </c>
      <c r="G17" s="11" t="n">
        <f aca="false">IFERROR(F17/E17,"")</f>
        <v>0.25</v>
      </c>
      <c r="H17" s="10" t="n">
        <f aca="false">SUMIFS(Closed_Deals!$M$2:$M$761,Closed_Deals!$H$2:$H$761,A17,Closed_Deals!$N$2:$N$761,"Won")</f>
        <v>976638.59</v>
      </c>
      <c r="I17" s="12" t="n">
        <f aca="false">IFERROR(AVERAGEIFS(Closed_Deals!$L$2:$L$761,Closed_Deals!$H$2:$H$761,A17,Closed_Deals!$N$2:$N$761,"Won"),"")</f>
        <v>81.625</v>
      </c>
      <c r="J17" s="7" t="n">
        <f aca="false">COUNTIF(Open_Pipeline!$H$2:$H$151,A17)</f>
        <v>5</v>
      </c>
      <c r="K17" s="10" t="n">
        <f aca="false">SUMIF(Open_Pipeline!$H$2:$H$151,A17,Open_Pipeline!$M$2:$M$151)</f>
        <v>741494.72</v>
      </c>
    </row>
    <row r="18" customFormat="false" ht="15" hidden="false" customHeight="false" outlineLevel="0" collapsed="false">
      <c r="A18" s="7" t="s">
        <v>258</v>
      </c>
      <c r="B18" s="7" t="s">
        <v>259</v>
      </c>
      <c r="C18" s="7" t="s">
        <v>105</v>
      </c>
      <c r="D18" s="8" t="n">
        <v>45366</v>
      </c>
      <c r="E18" s="7" t="n">
        <f aca="false">COUNTIF(Closed_Deals!$H$2:$H$761,A18)</f>
        <v>29</v>
      </c>
      <c r="F18" s="7" t="n">
        <f aca="false">COUNTIFS(Closed_Deals!$H$2:$H$761,A18,Closed_Deals!$N$2:$N$761,"Won")</f>
        <v>9</v>
      </c>
      <c r="G18" s="11" t="n">
        <f aca="false">IFERROR(F18/E18,"")</f>
        <v>0.310344827586207</v>
      </c>
      <c r="H18" s="10" t="n">
        <f aca="false">SUMIFS(Closed_Deals!$M$2:$M$761,Closed_Deals!$H$2:$H$761,A18,Closed_Deals!$N$2:$N$761,"Won")</f>
        <v>1006891.27</v>
      </c>
      <c r="I18" s="12" t="n">
        <f aca="false">IFERROR(AVERAGEIFS(Closed_Deals!$L$2:$L$761,Closed_Deals!$H$2:$H$761,A18,Closed_Deals!$N$2:$N$761,"Won"),"")</f>
        <v>77.3333333333333</v>
      </c>
      <c r="J18" s="7" t="n">
        <f aca="false">COUNTIF(Open_Pipeline!$H$2:$H$151,A18)</f>
        <v>8</v>
      </c>
      <c r="K18" s="10" t="n">
        <f aca="false">SUMIF(Open_Pipeline!$H$2:$H$151,A18,Open_Pipeline!$M$2:$M$151)</f>
        <v>673228.34</v>
      </c>
    </row>
    <row r="19" customFormat="false" ht="15" hidden="false" customHeight="false" outlineLevel="0" collapsed="false">
      <c r="A19" s="7" t="s">
        <v>171</v>
      </c>
      <c r="B19" s="7" t="s">
        <v>172</v>
      </c>
      <c r="C19" s="7" t="s">
        <v>115</v>
      </c>
      <c r="D19" s="8" t="n">
        <v>44492</v>
      </c>
      <c r="E19" s="7" t="n">
        <f aca="false">COUNTIF(Closed_Deals!$H$2:$H$761,A19)</f>
        <v>24</v>
      </c>
      <c r="F19" s="7" t="n">
        <f aca="false">COUNTIFS(Closed_Deals!$H$2:$H$761,A19,Closed_Deals!$N$2:$N$761,"Won")</f>
        <v>9</v>
      </c>
      <c r="G19" s="11" t="n">
        <f aca="false">IFERROR(F19/E19,"")</f>
        <v>0.375</v>
      </c>
      <c r="H19" s="10" t="n">
        <f aca="false">SUMIFS(Closed_Deals!$M$2:$M$761,Closed_Deals!$H$2:$H$761,A19,Closed_Deals!$N$2:$N$761,"Won")</f>
        <v>825334.32</v>
      </c>
      <c r="I19" s="12" t="n">
        <f aca="false">IFERROR(AVERAGEIFS(Closed_Deals!$L$2:$L$761,Closed_Deals!$H$2:$H$761,A19,Closed_Deals!$N$2:$N$761,"Won"),"")</f>
        <v>73.6666666666667</v>
      </c>
      <c r="J19" s="7" t="n">
        <f aca="false">COUNTIF(Open_Pipeline!$H$2:$H$151,A19)</f>
        <v>4</v>
      </c>
      <c r="K19" s="10" t="n">
        <f aca="false">SUMIF(Open_Pipeline!$H$2:$H$151,A19,Open_Pipeline!$M$2:$M$151)</f>
        <v>370927.47</v>
      </c>
    </row>
    <row r="20" customFormat="false" ht="15" hidden="false" customHeight="false" outlineLevel="0" collapsed="false">
      <c r="A20" s="7" t="s">
        <v>185</v>
      </c>
      <c r="B20" s="7" t="s">
        <v>186</v>
      </c>
      <c r="C20" s="7" t="s">
        <v>162</v>
      </c>
      <c r="D20" s="8" t="n">
        <v>44730</v>
      </c>
      <c r="E20" s="7" t="n">
        <f aca="false">COUNTIF(Closed_Deals!$H$2:$H$761,A20)</f>
        <v>37</v>
      </c>
      <c r="F20" s="7" t="n">
        <f aca="false">COUNTIFS(Closed_Deals!$H$2:$H$761,A20,Closed_Deals!$N$2:$N$761,"Won")</f>
        <v>12</v>
      </c>
      <c r="G20" s="11" t="n">
        <f aca="false">IFERROR(F20/E20,"")</f>
        <v>0.324324324324324</v>
      </c>
      <c r="H20" s="10" t="n">
        <f aca="false">SUMIFS(Closed_Deals!$M$2:$M$761,Closed_Deals!$H$2:$H$761,A20,Closed_Deals!$N$2:$N$761,"Won")</f>
        <v>1597719.19</v>
      </c>
      <c r="I20" s="12" t="n">
        <f aca="false">IFERROR(AVERAGEIFS(Closed_Deals!$L$2:$L$761,Closed_Deals!$H$2:$H$761,A20,Closed_Deals!$N$2:$N$761,"Won"),"")</f>
        <v>67.3333333333333</v>
      </c>
      <c r="J20" s="7" t="n">
        <f aca="false">COUNTIF(Open_Pipeline!$H$2:$H$151,A20)</f>
        <v>7</v>
      </c>
      <c r="K20" s="10" t="n">
        <f aca="false">SUMIF(Open_Pipeline!$H$2:$H$151,A20,Open_Pipeline!$M$2:$M$151)</f>
        <v>477240.76</v>
      </c>
    </row>
    <row r="21" customFormat="false" ht="15" hidden="false" customHeight="false" outlineLevel="0" collapsed="false">
      <c r="A21" s="7" t="s">
        <v>190</v>
      </c>
      <c r="B21" s="7" t="s">
        <v>191</v>
      </c>
      <c r="C21" s="7" t="s">
        <v>94</v>
      </c>
      <c r="D21" s="8" t="n">
        <v>45137</v>
      </c>
      <c r="E21" s="7" t="n">
        <f aca="false">COUNTIF(Closed_Deals!$H$2:$H$761,A21)</f>
        <v>36</v>
      </c>
      <c r="F21" s="7" t="n">
        <f aca="false">COUNTIFS(Closed_Deals!$H$2:$H$761,A21,Closed_Deals!$N$2:$N$761,"Won")</f>
        <v>13</v>
      </c>
      <c r="G21" s="11" t="n">
        <f aca="false">IFERROR(F21/E21,"")</f>
        <v>0.361111111111111</v>
      </c>
      <c r="H21" s="10" t="n">
        <f aca="false">SUMIFS(Closed_Deals!$M$2:$M$761,Closed_Deals!$H$2:$H$761,A21,Closed_Deals!$N$2:$N$761,"Won")</f>
        <v>1493891.06</v>
      </c>
      <c r="I21" s="12" t="n">
        <f aca="false">IFERROR(AVERAGEIFS(Closed_Deals!$L$2:$L$761,Closed_Deals!$H$2:$H$761,A21,Closed_Deals!$N$2:$N$761,"Won"),"")</f>
        <v>76.7692307692308</v>
      </c>
      <c r="J21" s="7" t="n">
        <f aca="false">COUNTIF(Open_Pipeline!$H$2:$H$151,A21)</f>
        <v>3</v>
      </c>
      <c r="K21" s="10" t="n">
        <f aca="false">SUMIF(Open_Pipeline!$H$2:$H$151,A21,Open_Pipeline!$M$2:$M$151)</f>
        <v>204059.72</v>
      </c>
    </row>
    <row r="22" customFormat="false" ht="15" hidden="false" customHeight="false" outlineLevel="0" collapsed="false">
      <c r="A22" s="7" t="s">
        <v>196</v>
      </c>
      <c r="B22" s="7" t="s">
        <v>197</v>
      </c>
      <c r="C22" s="7" t="s">
        <v>105</v>
      </c>
      <c r="D22" s="8" t="n">
        <v>44193</v>
      </c>
      <c r="E22" s="7" t="n">
        <f aca="false">COUNTIF(Closed_Deals!$H$2:$H$761,A22)</f>
        <v>37</v>
      </c>
      <c r="F22" s="7" t="n">
        <f aca="false">COUNTIFS(Closed_Deals!$H$2:$H$761,A22,Closed_Deals!$N$2:$N$761,"Won")</f>
        <v>12</v>
      </c>
      <c r="G22" s="11" t="n">
        <f aca="false">IFERROR(F22/E22,"")</f>
        <v>0.324324324324324</v>
      </c>
      <c r="H22" s="10" t="n">
        <f aca="false">SUMIFS(Closed_Deals!$M$2:$M$761,Closed_Deals!$H$2:$H$761,A22,Closed_Deals!$N$2:$N$761,"Won")</f>
        <v>1321120.56</v>
      </c>
      <c r="I22" s="12" t="n">
        <f aca="false">IFERROR(AVERAGEIFS(Closed_Deals!$L$2:$L$761,Closed_Deals!$H$2:$H$761,A22,Closed_Deals!$N$2:$N$761,"Won"),"")</f>
        <v>83.25</v>
      </c>
      <c r="J22" s="7" t="n">
        <f aca="false">COUNTIF(Open_Pipeline!$H$2:$H$151,A22)</f>
        <v>4</v>
      </c>
      <c r="K22" s="10" t="n">
        <f aca="false">SUMIF(Open_Pipeline!$H$2:$H$151,A22,Open_Pipeline!$M$2:$M$151)</f>
        <v>313154.02</v>
      </c>
    </row>
    <row r="23" customFormat="false" ht="15" hidden="false" customHeight="false" outlineLevel="0" collapsed="false">
      <c r="A23" s="7" t="s">
        <v>270</v>
      </c>
      <c r="B23" s="7" t="s">
        <v>271</v>
      </c>
      <c r="C23" s="7" t="s">
        <v>115</v>
      </c>
      <c r="D23" s="8" t="n">
        <v>44072</v>
      </c>
      <c r="E23" s="7" t="n">
        <f aca="false">COUNTIF(Closed_Deals!$H$2:$H$761,A23)</f>
        <v>32</v>
      </c>
      <c r="F23" s="7" t="n">
        <f aca="false">COUNTIFS(Closed_Deals!$H$2:$H$761,A23,Closed_Deals!$N$2:$N$761,"Won")</f>
        <v>14</v>
      </c>
      <c r="G23" s="11" t="n">
        <f aca="false">IFERROR(F23/E23,"")</f>
        <v>0.4375</v>
      </c>
      <c r="H23" s="10" t="n">
        <f aca="false">SUMIFS(Closed_Deals!$M$2:$M$761,Closed_Deals!$H$2:$H$761,A23,Closed_Deals!$N$2:$N$761,"Won")</f>
        <v>892204.48</v>
      </c>
      <c r="I23" s="12" t="n">
        <f aca="false">IFERROR(AVERAGEIFS(Closed_Deals!$L$2:$L$761,Closed_Deals!$H$2:$H$761,A23,Closed_Deals!$N$2:$N$761,"Won"),"")</f>
        <v>80.5</v>
      </c>
      <c r="J23" s="7" t="n">
        <f aca="false">COUNTIF(Open_Pipeline!$H$2:$H$151,A23)</f>
        <v>6</v>
      </c>
      <c r="K23" s="10" t="n">
        <f aca="false">SUMIF(Open_Pipeline!$H$2:$H$151,A23,Open_Pipeline!$M$2:$M$151)</f>
        <v>870070.07</v>
      </c>
    </row>
    <row r="24" customFormat="false" ht="15" hidden="false" customHeight="false" outlineLevel="0" collapsed="false">
      <c r="A24" s="7" t="s">
        <v>145</v>
      </c>
      <c r="B24" s="7" t="s">
        <v>146</v>
      </c>
      <c r="C24" s="7" t="s">
        <v>162</v>
      </c>
      <c r="D24" s="8" t="n">
        <v>43328</v>
      </c>
      <c r="E24" s="7" t="n">
        <f aca="false">COUNTIF(Closed_Deals!$H$2:$H$761,A24)</f>
        <v>29</v>
      </c>
      <c r="F24" s="7" t="n">
        <f aca="false">COUNTIFS(Closed_Deals!$H$2:$H$761,A24,Closed_Deals!$N$2:$N$761,"Won")</f>
        <v>15</v>
      </c>
      <c r="G24" s="11" t="n">
        <f aca="false">IFERROR(F24/E24,"")</f>
        <v>0.517241379310345</v>
      </c>
      <c r="H24" s="10" t="n">
        <f aca="false">SUMIFS(Closed_Deals!$M$2:$M$761,Closed_Deals!$H$2:$H$761,A24,Closed_Deals!$N$2:$N$761,"Won")</f>
        <v>1882479.57</v>
      </c>
      <c r="I24" s="12" t="n">
        <f aca="false">IFERROR(AVERAGEIFS(Closed_Deals!$L$2:$L$761,Closed_Deals!$H$2:$H$761,A24,Closed_Deals!$N$2:$N$761,"Won"),"")</f>
        <v>77.7333333333333</v>
      </c>
      <c r="J24" s="7" t="n">
        <f aca="false">COUNTIF(Open_Pipeline!$H$2:$H$151,A24)</f>
        <v>10</v>
      </c>
      <c r="K24" s="10" t="n">
        <f aca="false">SUMIF(Open_Pipeline!$H$2:$H$151,A24,Open_Pipeline!$M$2:$M$151)</f>
        <v>936447.27</v>
      </c>
    </row>
    <row r="25" customFormat="false" ht="15" hidden="false" customHeight="false" outlineLevel="0" collapsed="false">
      <c r="A25" s="7" t="s">
        <v>152</v>
      </c>
      <c r="B25" s="7" t="s">
        <v>153</v>
      </c>
      <c r="C25" s="7" t="s">
        <v>94</v>
      </c>
      <c r="D25" s="8" t="n">
        <v>43665</v>
      </c>
      <c r="E25" s="7" t="n">
        <f aca="false">COUNTIF(Closed_Deals!$H$2:$H$761,A25)</f>
        <v>37</v>
      </c>
      <c r="F25" s="7" t="n">
        <f aca="false">COUNTIFS(Closed_Deals!$H$2:$H$761,A25,Closed_Deals!$N$2:$N$761,"Won")</f>
        <v>10</v>
      </c>
      <c r="G25" s="11" t="n">
        <f aca="false">IFERROR(F25/E25,"")</f>
        <v>0.27027027027027</v>
      </c>
      <c r="H25" s="10" t="n">
        <f aca="false">SUMIFS(Closed_Deals!$M$2:$M$761,Closed_Deals!$H$2:$H$761,A25,Closed_Deals!$N$2:$N$761,"Won")</f>
        <v>1215913.22</v>
      </c>
      <c r="I25" s="12" t="n">
        <f aca="false">IFERROR(AVERAGEIFS(Closed_Deals!$L$2:$L$761,Closed_Deals!$H$2:$H$761,A25,Closed_Deals!$N$2:$N$761,"Won"),"")</f>
        <v>78.5</v>
      </c>
      <c r="J25" s="7" t="n">
        <f aca="false">COUNTIF(Open_Pipeline!$H$2:$H$151,A25)</f>
        <v>6</v>
      </c>
      <c r="K25" s="10" t="n">
        <f aca="false">SUMIF(Open_Pipeline!$H$2:$H$151,A25,Open_Pipeline!$M$2:$M$151)</f>
        <v>515462.27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6"/>
  </cols>
  <sheetData>
    <row r="1" customFormat="false" ht="19.7" hidden="false" customHeight="false" outlineLevel="0" collapsed="false">
      <c r="A1" s="1" t="s">
        <v>1625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1626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13" t="s">
        <v>1627</v>
      </c>
    </row>
    <row r="5" customFormat="false" ht="15" hidden="false" customHeight="false" outlineLevel="0" collapsed="false">
      <c r="A5" s="14" t="s">
        <v>1628</v>
      </c>
      <c r="B5" s="9" t="n">
        <f aca="false">COUNTA(Closed_Deals!$A$2:$A$761)</f>
        <v>760</v>
      </c>
    </row>
    <row r="6" customFormat="false" ht="15" hidden="false" customHeight="false" outlineLevel="0" collapsed="false">
      <c r="A6" s="14" t="s">
        <v>1629</v>
      </c>
      <c r="B6" s="9" t="n">
        <f aca="false">COUNTIF(Closed_Deals!$N$2:$N$761,"Won")</f>
        <v>246</v>
      </c>
    </row>
    <row r="7" customFormat="false" ht="15" hidden="false" customHeight="false" outlineLevel="0" collapsed="false">
      <c r="A7" s="14" t="s">
        <v>1630</v>
      </c>
      <c r="B7" s="9" t="n">
        <f aca="false">COUNTIF(Closed_Deals!$N$2:$N$761,"Lost")</f>
        <v>514</v>
      </c>
    </row>
    <row r="8" customFormat="false" ht="15" hidden="false" customHeight="false" outlineLevel="0" collapsed="false">
      <c r="A8" s="14" t="s">
        <v>1631</v>
      </c>
      <c r="B8" s="11" t="n">
        <f aca="false">B6/B5</f>
        <v>0.323684210526316</v>
      </c>
    </row>
    <row r="9" customFormat="false" ht="15" hidden="false" customHeight="false" outlineLevel="0" collapsed="false">
      <c r="A9" s="14" t="s">
        <v>1632</v>
      </c>
      <c r="B9" s="10" t="n">
        <f aca="false">SUMIF(Closed_Deals!$N$2:$N$761,"Won",Closed_Deals!$M$2:$M$761)</f>
        <v>27351414.54</v>
      </c>
    </row>
    <row r="10" customFormat="false" ht="15" hidden="false" customHeight="false" outlineLevel="0" collapsed="false">
      <c r="A10" s="14" t="s">
        <v>1633</v>
      </c>
      <c r="B10" s="10" t="n">
        <f aca="false">AVERAGEIF(Closed_Deals!$N$2:$N$761,"Won",Closed_Deals!$M$2:$M$761)</f>
        <v>111184.61195122</v>
      </c>
    </row>
    <row r="11" customFormat="false" ht="15" hidden="false" customHeight="false" outlineLevel="0" collapsed="false">
      <c r="A11" s="14" t="s">
        <v>1634</v>
      </c>
      <c r="B11" s="10" t="n">
        <f aca="false">AVERAGEIF(Closed_Deals!$N$2:$N$761,"Lost",Closed_Deals!$M$2:$M$761)</f>
        <v>112791.279280156</v>
      </c>
    </row>
    <row r="12" customFormat="false" ht="15" hidden="false" customHeight="false" outlineLevel="0" collapsed="false">
      <c r="A12" s="14" t="s">
        <v>1635</v>
      </c>
      <c r="B12" s="12" t="n">
        <f aca="false">AVERAGEIFS(Closed_Deals!$L$2:$L$761,Closed_Deals!$N$2:$N$761,"Won")</f>
        <v>78.6341463414634</v>
      </c>
    </row>
    <row r="13" customFormat="false" ht="15" hidden="false" customHeight="false" outlineLevel="0" collapsed="false">
      <c r="A13" s="14" t="s">
        <v>1636</v>
      </c>
      <c r="B13" s="12" t="n">
        <f aca="false">AVERAGEIFS(Closed_Deals!$L$2:$L$761,Closed_Deals!$N$2:$N$761,"Lost")</f>
        <v>77.1536964980545</v>
      </c>
    </row>
    <row r="14" customFormat="false" ht="15" hidden="false" customHeight="false" outlineLevel="0" collapsed="false">
      <c r="A14" s="14" t="s">
        <v>1637</v>
      </c>
      <c r="B14" s="9" t="n">
        <f aca="false">COUNTA(Open_Pipeline!$A$2:$A$151)</f>
        <v>150</v>
      </c>
    </row>
    <row r="15" customFormat="false" ht="15" hidden="false" customHeight="false" outlineLevel="0" collapsed="false">
      <c r="A15" s="14" t="s">
        <v>1638</v>
      </c>
      <c r="B15" s="10" t="n">
        <f aca="false">SUM(Open_Pipeline!$M$2:$M$151)</f>
        <v>16406753.87</v>
      </c>
    </row>
    <row r="16" customFormat="false" ht="15" hidden="false" customHeight="false" outlineLevel="0" collapsed="false">
      <c r="A16" s="14" t="s">
        <v>1639</v>
      </c>
      <c r="B16" s="10" t="n">
        <f aca="false">SUM(Open_Pipeline!$N$2:$N$151)</f>
        <v>4812140.0694</v>
      </c>
    </row>
    <row r="17" customFormat="false" ht="15" hidden="false" customHeight="false" outlineLevel="0" collapsed="false">
      <c r="A17" s="14" t="s">
        <v>1640</v>
      </c>
      <c r="B17" s="9" t="n">
        <f aca="false">COUNTA(Clients!$A$2:$A$261)</f>
        <v>260</v>
      </c>
    </row>
    <row r="18" customFormat="false" ht="15" hidden="false" customHeight="false" outlineLevel="0" collapsed="false">
      <c r="A18" s="14" t="s">
        <v>1641</v>
      </c>
      <c r="B18" s="9" t="n">
        <f aca="false">COUNTIFS(Clients!$F$2:$F$261,"&gt;0")</f>
        <v>126</v>
      </c>
    </row>
    <row r="19" customFormat="false" ht="15" hidden="false" customHeight="false" outlineLevel="0" collapsed="false">
      <c r="A19" s="14" t="s">
        <v>1642</v>
      </c>
      <c r="B19" s="9" t="n">
        <f aca="false">COUNTIF(Clients!$P$2:$P$261,"Yes")</f>
        <v>62</v>
      </c>
    </row>
    <row r="20" customFormat="false" ht="15" hidden="false" customHeight="false" outlineLevel="0" collapsed="false">
      <c r="A20" s="14" t="s">
        <v>1643</v>
      </c>
      <c r="B20" s="11" t="n">
        <f aca="false">B19/B18</f>
        <v>0.492063492063492</v>
      </c>
    </row>
    <row r="21" customFormat="false" ht="15" hidden="false" customHeight="false" outlineLevel="0" collapsed="false">
      <c r="A21" s="14" t="s">
        <v>1644</v>
      </c>
      <c r="B21" s="9" t="n">
        <f aca="false">COUNTIF(Clients!$Q$2:$Q$261,"Active")+COUNTIF(Clients!$Q$2:$Q$261,"Active - In Pipeline")</f>
        <v>108</v>
      </c>
    </row>
    <row r="22" customFormat="false" ht="15" hidden="false" customHeight="false" outlineLevel="0" collapsed="false">
      <c r="A22" s="14" t="s">
        <v>1645</v>
      </c>
      <c r="B22" s="9" t="n">
        <f aca="false">COUNTIF(Clients!$Q$2:$Q$261,"At Risk")</f>
        <v>9</v>
      </c>
    </row>
    <row r="23" customFormat="false" ht="15" hidden="false" customHeight="false" outlineLevel="0" collapsed="false">
      <c r="A23" s="14" t="s">
        <v>1646</v>
      </c>
      <c r="B23" s="9" t="n">
        <f aca="false">COUNTIF(Clients!$Q$2:$Q$261,"Churned")</f>
        <v>9</v>
      </c>
    </row>
    <row r="24" customFormat="false" ht="15" hidden="false" customHeight="false" outlineLevel="0" collapsed="false">
      <c r="A24" s="14" t="s">
        <v>1647</v>
      </c>
      <c r="B24" s="11" t="n">
        <f aca="false">B23/(B21+B22+B23)</f>
        <v>0.0714285714285714</v>
      </c>
    </row>
    <row r="26" customFormat="false" ht="15" hidden="false" customHeight="false" outlineLevel="0" collapsed="false">
      <c r="A26" s="13" t="s">
        <v>1648</v>
      </c>
    </row>
    <row r="27" customFormat="false" ht="15" hidden="false" customHeight="false" outlineLevel="0" collapsed="false">
      <c r="A27" s="6" t="s">
        <v>41</v>
      </c>
      <c r="B27" s="6" t="s">
        <v>1649</v>
      </c>
      <c r="C27" s="6" t="s">
        <v>131</v>
      </c>
      <c r="D27" s="6" t="s">
        <v>99</v>
      </c>
      <c r="E27" s="6" t="s">
        <v>1478</v>
      </c>
      <c r="F27" s="6" t="s">
        <v>1650</v>
      </c>
    </row>
    <row r="28" customFormat="false" ht="15" hidden="false" customHeight="false" outlineLevel="0" collapsed="false">
      <c r="A28" s="15" t="s">
        <v>106</v>
      </c>
      <c r="B28" s="15" t="n">
        <f aca="false">COUNTIF(Closed_Deals!$F$2:$F$761,$A28)</f>
        <v>85</v>
      </c>
      <c r="C28" s="15" t="n">
        <f aca="false">COUNTIFS(Closed_Deals!$F$2:$F$761,$A28,Closed_Deals!$N$2:$N$761,"Won")</f>
        <v>32</v>
      </c>
      <c r="D28" s="15" t="n">
        <f aca="false">B28-C28</f>
        <v>53</v>
      </c>
      <c r="E28" s="16" t="n">
        <f aca="false">IFERROR(C28/B28,"")</f>
        <v>0.376470588235294</v>
      </c>
      <c r="F28" s="17" t="n">
        <f aca="false">SUMIFS(Closed_Deals!$M$2:$M$761,Closed_Deals!$F$2:$F$761,$A28,Closed_Deals!$N$2:$N$761,"Won")</f>
        <v>3754159.58</v>
      </c>
    </row>
    <row r="29" customFormat="false" ht="15" hidden="false" customHeight="false" outlineLevel="0" collapsed="false">
      <c r="A29" s="15" t="s">
        <v>143</v>
      </c>
      <c r="B29" s="15" t="n">
        <f aca="false">COUNTIF(Closed_Deals!$F$2:$F$761,$A29)</f>
        <v>102</v>
      </c>
      <c r="C29" s="15" t="n">
        <f aca="false">COUNTIFS(Closed_Deals!$F$2:$F$761,$A29,Closed_Deals!$N$2:$N$761,"Won")</f>
        <v>26</v>
      </c>
      <c r="D29" s="15" t="n">
        <f aca="false">B29-C29</f>
        <v>76</v>
      </c>
      <c r="E29" s="16" t="n">
        <f aca="false">IFERROR(C29/B29,"")</f>
        <v>0.254901960784314</v>
      </c>
      <c r="F29" s="17" t="n">
        <f aca="false">SUMIFS(Closed_Deals!$M$2:$M$761,Closed_Deals!$F$2:$F$761,$A29,Closed_Deals!$N$2:$N$761,"Won")</f>
        <v>4159440.43</v>
      </c>
    </row>
    <row r="30" customFormat="false" ht="15" hidden="false" customHeight="false" outlineLevel="0" collapsed="false">
      <c r="A30" s="15" t="s">
        <v>183</v>
      </c>
      <c r="B30" s="15" t="n">
        <f aca="false">COUNTIF(Closed_Deals!$F$2:$F$761,$A30)</f>
        <v>90</v>
      </c>
      <c r="C30" s="15" t="n">
        <f aca="false">COUNTIFS(Closed_Deals!$F$2:$F$761,$A30,Closed_Deals!$N$2:$N$761,"Won")</f>
        <v>31</v>
      </c>
      <c r="D30" s="15" t="n">
        <f aca="false">B30-C30</f>
        <v>59</v>
      </c>
      <c r="E30" s="16" t="n">
        <f aca="false">IFERROR(C30/B30,"")</f>
        <v>0.344444444444444</v>
      </c>
      <c r="F30" s="17" t="n">
        <f aca="false">SUMIFS(Closed_Deals!$M$2:$M$761,Closed_Deals!$F$2:$F$761,$A30,Closed_Deals!$N$2:$N$761,"Won")</f>
        <v>3737095.78</v>
      </c>
    </row>
    <row r="31" customFormat="false" ht="15" hidden="false" customHeight="false" outlineLevel="0" collapsed="false">
      <c r="A31" s="15" t="s">
        <v>128</v>
      </c>
      <c r="B31" s="15" t="n">
        <f aca="false">COUNTIF(Closed_Deals!$F$2:$F$761,$A31)</f>
        <v>98</v>
      </c>
      <c r="C31" s="15" t="n">
        <f aca="false">COUNTIFS(Closed_Deals!$F$2:$F$761,$A31,Closed_Deals!$N$2:$N$761,"Won")</f>
        <v>38</v>
      </c>
      <c r="D31" s="15" t="n">
        <f aca="false">B31-C31</f>
        <v>60</v>
      </c>
      <c r="E31" s="16" t="n">
        <f aca="false">IFERROR(C31/B31,"")</f>
        <v>0.387755102040816</v>
      </c>
      <c r="F31" s="17" t="n">
        <f aca="false">SUMIFS(Closed_Deals!$M$2:$M$761,Closed_Deals!$F$2:$F$761,$A31,Closed_Deals!$N$2:$N$761,"Won")</f>
        <v>3119217.39</v>
      </c>
    </row>
    <row r="32" customFormat="false" ht="15" hidden="false" customHeight="false" outlineLevel="0" collapsed="false">
      <c r="A32" s="15" t="s">
        <v>157</v>
      </c>
      <c r="B32" s="15" t="n">
        <f aca="false">COUNTIF(Closed_Deals!$F$2:$F$761,$A32)</f>
        <v>99</v>
      </c>
      <c r="C32" s="15" t="n">
        <f aca="false">COUNTIFS(Closed_Deals!$F$2:$F$761,$A32,Closed_Deals!$N$2:$N$761,"Won")</f>
        <v>31</v>
      </c>
      <c r="D32" s="15" t="n">
        <f aca="false">B32-C32</f>
        <v>68</v>
      </c>
      <c r="E32" s="16" t="n">
        <f aca="false">IFERROR(C32/B32,"")</f>
        <v>0.313131313131313</v>
      </c>
      <c r="F32" s="17" t="n">
        <f aca="false">SUMIFS(Closed_Deals!$M$2:$M$761,Closed_Deals!$F$2:$F$761,$A32,Closed_Deals!$N$2:$N$761,"Won")</f>
        <v>2916992.7</v>
      </c>
    </row>
    <row r="33" customFormat="false" ht="15" hidden="false" customHeight="false" outlineLevel="0" collapsed="false">
      <c r="A33" s="15" t="s">
        <v>95</v>
      </c>
      <c r="B33" s="15" t="n">
        <f aca="false">COUNTIF(Closed_Deals!$F$2:$F$761,$A33)</f>
        <v>91</v>
      </c>
      <c r="C33" s="15" t="n">
        <f aca="false">COUNTIFS(Closed_Deals!$F$2:$F$761,$A33,Closed_Deals!$N$2:$N$761,"Won")</f>
        <v>28</v>
      </c>
      <c r="D33" s="15" t="n">
        <f aca="false">B33-C33</f>
        <v>63</v>
      </c>
      <c r="E33" s="16" t="n">
        <f aca="false">IFERROR(C33/B33,"")</f>
        <v>0.307692307692308</v>
      </c>
      <c r="F33" s="17" t="n">
        <f aca="false">SUMIFS(Closed_Deals!$M$2:$M$761,Closed_Deals!$F$2:$F$761,$A33,Closed_Deals!$N$2:$N$761,"Won")</f>
        <v>2153158.52</v>
      </c>
    </row>
    <row r="34" customFormat="false" ht="15" hidden="false" customHeight="false" outlineLevel="0" collapsed="false">
      <c r="A34" s="15" t="s">
        <v>136</v>
      </c>
      <c r="B34" s="15" t="n">
        <f aca="false">COUNTIF(Closed_Deals!$F$2:$F$761,$A34)</f>
        <v>95</v>
      </c>
      <c r="C34" s="15" t="n">
        <f aca="false">COUNTIFS(Closed_Deals!$F$2:$F$761,$A34,Closed_Deals!$N$2:$N$761,"Won")</f>
        <v>26</v>
      </c>
      <c r="D34" s="15" t="n">
        <f aca="false">B34-C34</f>
        <v>69</v>
      </c>
      <c r="E34" s="16" t="n">
        <f aca="false">IFERROR(C34/B34,"")</f>
        <v>0.273684210526316</v>
      </c>
      <c r="F34" s="17" t="n">
        <f aca="false">SUMIFS(Closed_Deals!$M$2:$M$761,Closed_Deals!$F$2:$F$761,$A34,Closed_Deals!$N$2:$N$761,"Won")</f>
        <v>3232040.36</v>
      </c>
    </row>
    <row r="35" customFormat="false" ht="15" hidden="false" customHeight="false" outlineLevel="0" collapsed="false">
      <c r="A35" s="15" t="s">
        <v>116</v>
      </c>
      <c r="B35" s="15" t="n">
        <f aca="false">COUNTIF(Closed_Deals!$F$2:$F$761,$A35)</f>
        <v>100</v>
      </c>
      <c r="C35" s="15" t="n">
        <f aca="false">COUNTIFS(Closed_Deals!$F$2:$F$761,$A35,Closed_Deals!$N$2:$N$761,"Won")</f>
        <v>34</v>
      </c>
      <c r="D35" s="15" t="n">
        <f aca="false">B35-C35</f>
        <v>66</v>
      </c>
      <c r="E35" s="16" t="n">
        <f aca="false">IFERROR(C35/B35,"")</f>
        <v>0.34</v>
      </c>
      <c r="F35" s="17" t="n">
        <f aca="false">SUMIFS(Closed_Deals!$M$2:$M$761,Closed_Deals!$F$2:$F$761,$A35,Closed_Deals!$N$2:$N$761,"Won")</f>
        <v>4279309.78</v>
      </c>
    </row>
    <row r="37" customFormat="false" ht="15" hidden="false" customHeight="false" outlineLevel="0" collapsed="false">
      <c r="A37" s="13" t="s">
        <v>1651</v>
      </c>
    </row>
    <row r="38" customFormat="false" ht="15" hidden="false" customHeight="false" outlineLevel="0" collapsed="false">
      <c r="A38" s="6" t="s">
        <v>84</v>
      </c>
      <c r="B38" s="6" t="s">
        <v>1649</v>
      </c>
      <c r="C38" s="6" t="s">
        <v>131</v>
      </c>
      <c r="D38" s="6" t="s">
        <v>99</v>
      </c>
      <c r="E38" s="6" t="s">
        <v>1478</v>
      </c>
      <c r="F38" s="6" t="s">
        <v>1650</v>
      </c>
    </row>
    <row r="39" customFormat="false" ht="15" hidden="false" customHeight="false" outlineLevel="0" collapsed="false">
      <c r="A39" s="15" t="s">
        <v>105</v>
      </c>
      <c r="B39" s="15" t="n">
        <f aca="false">COUNTIF(Closed_Deals!$E$2:$E$761,$A39)</f>
        <v>212</v>
      </c>
      <c r="C39" s="15" t="n">
        <f aca="false">COUNTIFS(Closed_Deals!$E$2:$E$761,$A39,Closed_Deals!$N$2:$N$761,"Won")</f>
        <v>79</v>
      </c>
      <c r="D39" s="15" t="n">
        <f aca="false">B39-C39</f>
        <v>133</v>
      </c>
      <c r="E39" s="16" t="n">
        <f aca="false">IFERROR(C39/B39,"")</f>
        <v>0.372641509433962</v>
      </c>
      <c r="F39" s="17" t="n">
        <f aca="false">SUMIFS(Closed_Deals!$M$2:$M$761,Closed_Deals!$E$2:$E$761,$A39,Closed_Deals!$N$2:$N$761,"Won")</f>
        <v>9252360.35</v>
      </c>
    </row>
    <row r="40" customFormat="false" ht="15" hidden="false" customHeight="false" outlineLevel="0" collapsed="false">
      <c r="A40" s="15" t="s">
        <v>115</v>
      </c>
      <c r="B40" s="15" t="n">
        <f aca="false">COUNTIF(Closed_Deals!$E$2:$E$761,$A40)</f>
        <v>136</v>
      </c>
      <c r="C40" s="15" t="n">
        <f aca="false">COUNTIFS(Closed_Deals!$E$2:$E$761,$A40,Closed_Deals!$N$2:$N$761,"Won")</f>
        <v>38</v>
      </c>
      <c r="D40" s="15" t="n">
        <f aca="false">B40-C40</f>
        <v>98</v>
      </c>
      <c r="E40" s="16" t="n">
        <f aca="false">IFERROR(C40/B40,"")</f>
        <v>0.279411764705882</v>
      </c>
      <c r="F40" s="17" t="n">
        <f aca="false">SUMIFS(Closed_Deals!$M$2:$M$761,Closed_Deals!$E$2:$E$761,$A40,Closed_Deals!$N$2:$N$761,"Won")</f>
        <v>3900392.25</v>
      </c>
    </row>
    <row r="41" customFormat="false" ht="15" hidden="false" customHeight="false" outlineLevel="0" collapsed="false">
      <c r="A41" s="15" t="s">
        <v>162</v>
      </c>
      <c r="B41" s="15" t="n">
        <f aca="false">COUNTIF(Closed_Deals!$E$2:$E$761,$A41)</f>
        <v>165</v>
      </c>
      <c r="C41" s="15" t="n">
        <f aca="false">COUNTIFS(Closed_Deals!$E$2:$E$761,$A41,Closed_Deals!$N$2:$N$761,"Won")</f>
        <v>55</v>
      </c>
      <c r="D41" s="15" t="n">
        <f aca="false">B41-C41</f>
        <v>110</v>
      </c>
      <c r="E41" s="16" t="n">
        <f aca="false">IFERROR(C41/B41,"")</f>
        <v>0.333333333333333</v>
      </c>
      <c r="F41" s="17" t="n">
        <f aca="false">SUMIFS(Closed_Deals!$M$2:$M$761,Closed_Deals!$E$2:$E$761,$A41,Closed_Deals!$N$2:$N$761,"Won")</f>
        <v>6111510.43</v>
      </c>
    </row>
    <row r="42" customFormat="false" ht="15" hidden="false" customHeight="false" outlineLevel="0" collapsed="false">
      <c r="A42" s="15" t="s">
        <v>94</v>
      </c>
      <c r="B42" s="15" t="n">
        <f aca="false">COUNTIF(Closed_Deals!$E$2:$E$761,$A42)</f>
        <v>247</v>
      </c>
      <c r="C42" s="15" t="n">
        <f aca="false">COUNTIFS(Closed_Deals!$E$2:$E$761,$A42,Closed_Deals!$N$2:$N$761,"Won")</f>
        <v>74</v>
      </c>
      <c r="D42" s="15" t="n">
        <f aca="false">B42-C42</f>
        <v>173</v>
      </c>
      <c r="E42" s="16" t="n">
        <f aca="false">IFERROR(C42/B42,"")</f>
        <v>0.299595141700405</v>
      </c>
      <c r="F42" s="17" t="n">
        <f aca="false">SUMIFS(Closed_Deals!$M$2:$M$761,Closed_Deals!$E$2:$E$761,$A42,Closed_Deals!$N$2:$N$761,"Won")</f>
        <v>8087151.51</v>
      </c>
    </row>
    <row r="44" customFormat="false" ht="15" hidden="false" customHeight="false" outlineLevel="0" collapsed="false">
      <c r="A44" s="13" t="s">
        <v>1652</v>
      </c>
    </row>
    <row r="45" customFormat="false" ht="15" hidden="false" customHeight="false" outlineLevel="0" collapsed="false">
      <c r="A45" s="6" t="s">
        <v>43</v>
      </c>
      <c r="B45" s="6" t="s">
        <v>1649</v>
      </c>
      <c r="C45" s="6" t="s">
        <v>131</v>
      </c>
      <c r="D45" s="6" t="s">
        <v>99</v>
      </c>
      <c r="E45" s="6" t="s">
        <v>1478</v>
      </c>
      <c r="F45" s="6" t="s">
        <v>1650</v>
      </c>
    </row>
    <row r="46" customFormat="false" ht="15" hidden="false" customHeight="false" outlineLevel="0" collapsed="false">
      <c r="A46" s="15" t="s">
        <v>144</v>
      </c>
      <c r="B46" s="15" t="n">
        <f aca="false">COUNTIF(Closed_Deals!$G$2:$G$761,$A46)</f>
        <v>102</v>
      </c>
      <c r="C46" s="15" t="n">
        <f aca="false">COUNTIFS(Closed_Deals!$G$2:$G$761,$A46,Closed_Deals!$N$2:$N$761,"Won")</f>
        <v>33</v>
      </c>
      <c r="D46" s="15" t="n">
        <f aca="false">B46-C46</f>
        <v>69</v>
      </c>
      <c r="E46" s="16" t="n">
        <f aca="false">IFERROR(C46/B46,"")</f>
        <v>0.323529411764706</v>
      </c>
      <c r="F46" s="17" t="n">
        <f aca="false">SUMIFS(Closed_Deals!$M$2:$M$761,Closed_Deals!$G$2:$G$761,$A46,Closed_Deals!$N$2:$N$761,"Won")</f>
        <v>3961660.87</v>
      </c>
    </row>
    <row r="47" customFormat="false" ht="15" hidden="false" customHeight="false" outlineLevel="0" collapsed="false">
      <c r="A47" s="15" t="s">
        <v>176</v>
      </c>
      <c r="B47" s="15" t="n">
        <f aca="false">COUNTIF(Closed_Deals!$G$2:$G$761,$A47)</f>
        <v>107</v>
      </c>
      <c r="C47" s="15" t="n">
        <f aca="false">COUNTIFS(Closed_Deals!$G$2:$G$761,$A47,Closed_Deals!$N$2:$N$761,"Won")</f>
        <v>41</v>
      </c>
      <c r="D47" s="15" t="n">
        <f aca="false">B47-C47</f>
        <v>66</v>
      </c>
      <c r="E47" s="16" t="n">
        <f aca="false">IFERROR(C47/B47,"")</f>
        <v>0.383177570093458</v>
      </c>
      <c r="F47" s="17" t="n">
        <f aca="false">SUMIFS(Closed_Deals!$M$2:$M$761,Closed_Deals!$G$2:$G$761,$A47,Closed_Deals!$N$2:$N$761,"Won")</f>
        <v>4534718.24</v>
      </c>
    </row>
    <row r="48" customFormat="false" ht="15" hidden="false" customHeight="false" outlineLevel="0" collapsed="false">
      <c r="A48" s="15" t="s">
        <v>117</v>
      </c>
      <c r="B48" s="15" t="n">
        <f aca="false">COUNTIF(Closed_Deals!$G$2:$G$761,$A48)</f>
        <v>105</v>
      </c>
      <c r="C48" s="15" t="n">
        <f aca="false">COUNTIFS(Closed_Deals!$G$2:$G$761,$A48,Closed_Deals!$N$2:$N$761,"Won")</f>
        <v>38</v>
      </c>
      <c r="D48" s="15" t="n">
        <f aca="false">B48-C48</f>
        <v>67</v>
      </c>
      <c r="E48" s="16" t="n">
        <f aca="false">IFERROR(C48/B48,"")</f>
        <v>0.361904761904762</v>
      </c>
      <c r="F48" s="17" t="n">
        <f aca="false">SUMIFS(Closed_Deals!$M$2:$M$761,Closed_Deals!$G$2:$G$761,$A48,Closed_Deals!$N$2:$N$761,"Won")</f>
        <v>4128241.52</v>
      </c>
    </row>
    <row r="49" customFormat="false" ht="15" hidden="false" customHeight="false" outlineLevel="0" collapsed="false">
      <c r="A49" s="15" t="s">
        <v>96</v>
      </c>
      <c r="B49" s="15" t="n">
        <f aca="false">COUNTIF(Closed_Deals!$G$2:$G$761,$A49)</f>
        <v>118</v>
      </c>
      <c r="C49" s="15" t="n">
        <f aca="false">COUNTIFS(Closed_Deals!$G$2:$G$761,$A49,Closed_Deals!$N$2:$N$761,"Won")</f>
        <v>41</v>
      </c>
      <c r="D49" s="15" t="n">
        <f aca="false">B49-C49</f>
        <v>77</v>
      </c>
      <c r="E49" s="16" t="n">
        <f aca="false">IFERROR(C49/B49,"")</f>
        <v>0.347457627118644</v>
      </c>
      <c r="F49" s="17" t="n">
        <f aca="false">SUMIFS(Closed_Deals!$M$2:$M$761,Closed_Deals!$G$2:$G$761,$A49,Closed_Deals!$N$2:$N$761,"Won")</f>
        <v>4584991.07</v>
      </c>
    </row>
    <row r="50" customFormat="false" ht="15" hidden="false" customHeight="false" outlineLevel="0" collapsed="false">
      <c r="A50" s="15" t="s">
        <v>107</v>
      </c>
      <c r="B50" s="15" t="n">
        <f aca="false">COUNTIF(Closed_Deals!$G$2:$G$761,$A50)</f>
        <v>113</v>
      </c>
      <c r="C50" s="15" t="n">
        <f aca="false">COUNTIFS(Closed_Deals!$G$2:$G$761,$A50,Closed_Deals!$N$2:$N$761,"Won")</f>
        <v>33</v>
      </c>
      <c r="D50" s="15" t="n">
        <f aca="false">B50-C50</f>
        <v>80</v>
      </c>
      <c r="E50" s="16" t="n">
        <f aca="false">IFERROR(C50/B50,"")</f>
        <v>0.292035398230089</v>
      </c>
      <c r="F50" s="17" t="n">
        <f aca="false">SUMIFS(Closed_Deals!$M$2:$M$761,Closed_Deals!$G$2:$G$761,$A50,Closed_Deals!$N$2:$N$761,"Won")</f>
        <v>3326945.34</v>
      </c>
    </row>
    <row r="51" customFormat="false" ht="15" hidden="false" customHeight="false" outlineLevel="0" collapsed="false">
      <c r="A51" s="15" t="s">
        <v>137</v>
      </c>
      <c r="B51" s="15" t="n">
        <f aca="false">COUNTIF(Closed_Deals!$G$2:$G$761,$A51)</f>
        <v>118</v>
      </c>
      <c r="C51" s="15" t="n">
        <f aca="false">COUNTIFS(Closed_Deals!$G$2:$G$761,$A51,Closed_Deals!$N$2:$N$761,"Won")</f>
        <v>33</v>
      </c>
      <c r="D51" s="15" t="n">
        <f aca="false">B51-C51</f>
        <v>85</v>
      </c>
      <c r="E51" s="16" t="n">
        <f aca="false">IFERROR(C51/B51,"")</f>
        <v>0.279661016949153</v>
      </c>
      <c r="F51" s="17" t="n">
        <f aca="false">SUMIFS(Closed_Deals!$M$2:$M$761,Closed_Deals!$G$2:$G$761,$A51,Closed_Deals!$N$2:$N$761,"Won")</f>
        <v>3993811.3</v>
      </c>
    </row>
    <row r="52" customFormat="false" ht="15" hidden="false" customHeight="false" outlineLevel="0" collapsed="false">
      <c r="A52" s="15" t="s">
        <v>184</v>
      </c>
      <c r="B52" s="15" t="n">
        <f aca="false">COUNTIF(Closed_Deals!$G$2:$G$761,$A52)</f>
        <v>97</v>
      </c>
      <c r="C52" s="15" t="n">
        <f aca="false">COUNTIFS(Closed_Deals!$G$2:$G$761,$A52,Closed_Deals!$N$2:$N$761,"Won")</f>
        <v>27</v>
      </c>
      <c r="D52" s="15" t="n">
        <f aca="false">B52-C52</f>
        <v>70</v>
      </c>
      <c r="E52" s="16" t="n">
        <f aca="false">IFERROR(C52/B52,"")</f>
        <v>0.278350515463918</v>
      </c>
      <c r="F52" s="17" t="n">
        <f aca="false">SUMIFS(Closed_Deals!$M$2:$M$761,Closed_Deals!$G$2:$G$761,$A52,Closed_Deals!$N$2:$N$761,"Won")</f>
        <v>2821046.2</v>
      </c>
    </row>
    <row r="54" customFormat="false" ht="15" hidden="false" customHeight="false" outlineLevel="0" collapsed="false">
      <c r="A54" s="13" t="s">
        <v>1653</v>
      </c>
    </row>
    <row r="55" customFormat="false" ht="15" hidden="false" customHeight="false" outlineLevel="0" collapsed="false">
      <c r="A55" s="6" t="s">
        <v>68</v>
      </c>
      <c r="B55" s="6" t="s">
        <v>1654</v>
      </c>
      <c r="C55" s="6" t="s">
        <v>1655</v>
      </c>
      <c r="D55" s="6" t="s">
        <v>1656</v>
      </c>
      <c r="E55" s="6" t="s">
        <v>1657</v>
      </c>
    </row>
    <row r="56" customFormat="false" ht="15" hidden="false" customHeight="false" outlineLevel="0" collapsed="false">
      <c r="A56" s="15" t="s">
        <v>1306</v>
      </c>
      <c r="B56" s="15" t="n">
        <f aca="false">COUNTIF(Open_Pipeline!$K$2:$K$151,$A56)</f>
        <v>55</v>
      </c>
      <c r="C56" s="17" t="n">
        <f aca="false">SUMIF(Open_Pipeline!$K$2:$K$151,$A56,Open_Pipeline!$M$2:$M$151)</f>
        <v>6536497.83</v>
      </c>
      <c r="D56" s="17" t="n">
        <f aca="false">SUMIF(Open_Pipeline!$K$2:$K$151,$A56,Open_Pipeline!$N$2:$N$151)</f>
        <v>689368.5364</v>
      </c>
      <c r="E56" s="16" t="n">
        <f aca="false">IFERROR(AVERAGEIF(Open_Pipeline!$K$2:$K$151,$A56,Open_Pipeline!$L$2:$L$151),"")</f>
        <v>0.102181818181818</v>
      </c>
    </row>
    <row r="57" customFormat="false" ht="15" hidden="false" customHeight="false" outlineLevel="0" collapsed="false">
      <c r="A57" s="15" t="s">
        <v>1309</v>
      </c>
      <c r="B57" s="15" t="n">
        <f aca="false">COUNTIF(Open_Pipeline!$K$2:$K$151,$A57)</f>
        <v>46</v>
      </c>
      <c r="C57" s="17" t="n">
        <f aca="false">SUMIF(Open_Pipeline!$K$2:$K$151,$A57,Open_Pipeline!$M$2:$M$151)</f>
        <v>5007992.01</v>
      </c>
      <c r="D57" s="17" t="n">
        <f aca="false">SUMIF(Open_Pipeline!$K$2:$K$151,$A57,Open_Pipeline!$N$2:$N$151)</f>
        <v>1303572.0362</v>
      </c>
      <c r="E57" s="16" t="n">
        <f aca="false">IFERROR(AVERAGEIF(Open_Pipeline!$K$2:$K$151,$A57,Open_Pipeline!$L$2:$L$151),"")</f>
        <v>0.254782608695652</v>
      </c>
    </row>
    <row r="58" customFormat="false" ht="15" hidden="false" customHeight="false" outlineLevel="0" collapsed="false">
      <c r="A58" s="15" t="s">
        <v>1316</v>
      </c>
      <c r="B58" s="15" t="n">
        <f aca="false">COUNTIF(Open_Pipeline!$K$2:$K$151,$A58)</f>
        <v>33</v>
      </c>
      <c r="C58" s="17" t="n">
        <f aca="false">SUMIF(Open_Pipeline!$K$2:$K$151,$A58,Open_Pipeline!$M$2:$M$151)</f>
        <v>3167666.87</v>
      </c>
      <c r="D58" s="17" t="n">
        <f aca="false">SUMIF(Open_Pipeline!$K$2:$K$151,$A58,Open_Pipeline!$N$2:$N$151)</f>
        <v>1536657.4298</v>
      </c>
      <c r="E58" s="16" t="n">
        <f aca="false">IFERROR(AVERAGEIF(Open_Pipeline!$K$2:$K$151,$A58,Open_Pipeline!$L$2:$L$151),"")</f>
        <v>0.488181818181818</v>
      </c>
    </row>
    <row r="59" customFormat="false" ht="15" hidden="false" customHeight="false" outlineLevel="0" collapsed="false">
      <c r="A59" s="15" t="s">
        <v>1320</v>
      </c>
      <c r="B59" s="15" t="n">
        <f aca="false">COUNTIF(Open_Pipeline!$K$2:$K$151,$A59)</f>
        <v>16</v>
      </c>
      <c r="C59" s="17" t="n">
        <f aca="false">SUMIF(Open_Pipeline!$K$2:$K$151,$A59,Open_Pipeline!$M$2:$M$151)</f>
        <v>1694597.16</v>
      </c>
      <c r="D59" s="17" t="n">
        <f aca="false">SUMIF(Open_Pipeline!$K$2:$K$151,$A59,Open_Pipeline!$N$2:$N$151)</f>
        <v>1282542.067</v>
      </c>
      <c r="E59" s="16" t="n">
        <f aca="false">IFERROR(AVERAGEIF(Open_Pipeline!$K$2:$K$151,$A59,Open_Pipeline!$L$2:$L$151),"")</f>
        <v>0.749375</v>
      </c>
    </row>
    <row r="61" customFormat="false" ht="15" hidden="false" customHeight="false" outlineLevel="0" collapsed="false">
      <c r="A61" s="13" t="s">
        <v>1658</v>
      </c>
    </row>
    <row r="62" customFormat="false" ht="23.85" hidden="false" customHeight="false" outlineLevel="0" collapsed="false">
      <c r="A62" s="6" t="s">
        <v>55</v>
      </c>
      <c r="B62" s="6" t="s">
        <v>1654</v>
      </c>
      <c r="C62" s="6" t="s">
        <v>1659</v>
      </c>
    </row>
    <row r="63" customFormat="false" ht="15" hidden="false" customHeight="false" outlineLevel="0" collapsed="false">
      <c r="A63" s="15" t="s">
        <v>100</v>
      </c>
      <c r="B63" s="15" t="n">
        <f aca="false">COUNTIF(Closed_Deals!$O$2:$O$761,$A63)</f>
        <v>77</v>
      </c>
      <c r="C63" s="16" t="n">
        <f aca="false">IFERROR(B63/$B$7,"")</f>
        <v>0.149805447470817</v>
      </c>
    </row>
    <row r="64" customFormat="false" ht="15" hidden="false" customHeight="false" outlineLevel="0" collapsed="false">
      <c r="A64" s="15" t="s">
        <v>110</v>
      </c>
      <c r="B64" s="15" t="n">
        <f aca="false">COUNTIF(Closed_Deals!$O$2:$O$761,$A64)</f>
        <v>81</v>
      </c>
      <c r="C64" s="16" t="n">
        <f aca="false">IFERROR(B64/$B$7,"")</f>
        <v>0.157587548638132</v>
      </c>
    </row>
    <row r="65" customFormat="false" ht="15" hidden="false" customHeight="false" outlineLevel="0" collapsed="false">
      <c r="A65" s="15" t="s">
        <v>147</v>
      </c>
      <c r="B65" s="15" t="n">
        <f aca="false">COUNTIF(Closed_Deals!$O$2:$O$761,$A65)</f>
        <v>101</v>
      </c>
      <c r="C65" s="16" t="n">
        <f aca="false">IFERROR(B65/$B$7,"")</f>
        <v>0.196498054474708</v>
      </c>
    </row>
    <row r="66" customFormat="false" ht="15" hidden="false" customHeight="false" outlineLevel="0" collapsed="false">
      <c r="A66" s="15" t="s">
        <v>219</v>
      </c>
      <c r="B66" s="15" t="n">
        <f aca="false">COUNTIF(Closed_Deals!$O$2:$O$761,$A66)</f>
        <v>88</v>
      </c>
      <c r="C66" s="16" t="n">
        <f aca="false">IFERROR(B66/$B$7,"")</f>
        <v>0.171206225680934</v>
      </c>
    </row>
    <row r="67" customFormat="false" ht="15" hidden="false" customHeight="false" outlineLevel="0" collapsed="false">
      <c r="A67" s="15" t="s">
        <v>118</v>
      </c>
      <c r="B67" s="15" t="n">
        <f aca="false">COUNTIF(Closed_Deals!$O$2:$O$761,$A67)</f>
        <v>83</v>
      </c>
      <c r="C67" s="16" t="n">
        <f aca="false">IFERROR(B67/$B$7,"")</f>
        <v>0.16147859922179</v>
      </c>
    </row>
    <row r="68" customFormat="false" ht="15" hidden="false" customHeight="false" outlineLevel="0" collapsed="false">
      <c r="A68" s="15" t="s">
        <v>124</v>
      </c>
      <c r="B68" s="15" t="n">
        <f aca="false">COUNTIF(Closed_Deals!$O$2:$O$761,$A68)</f>
        <v>84</v>
      </c>
      <c r="C68" s="16" t="n">
        <f aca="false">IFERROR(B68/$B$7,"")</f>
        <v>0.163424124513619</v>
      </c>
    </row>
    <row r="70" customFormat="false" ht="15" hidden="false" customHeight="false" outlineLevel="0" collapsed="false">
      <c r="A70" s="13" t="s">
        <v>1660</v>
      </c>
    </row>
    <row r="71" customFormat="false" ht="15" hidden="false" customHeight="false" outlineLevel="0" collapsed="false">
      <c r="A71" s="6" t="s">
        <v>1487</v>
      </c>
      <c r="B71" s="6" t="s">
        <v>1654</v>
      </c>
      <c r="C71" s="6" t="s">
        <v>1661</v>
      </c>
    </row>
    <row r="72" customFormat="false" ht="15" hidden="false" customHeight="false" outlineLevel="0" collapsed="false">
      <c r="A72" s="15" t="s">
        <v>1662</v>
      </c>
      <c r="B72" s="15" t="n">
        <f aca="false">COUNTIF(Clients!$Q$2:$Q$261,$A72)</f>
        <v>134</v>
      </c>
      <c r="C72" s="16" t="n">
        <f aca="false">IFERROR(B72/$B$17,"")</f>
        <v>0.515384615384615</v>
      </c>
    </row>
    <row r="73" customFormat="false" ht="15" hidden="false" customHeight="false" outlineLevel="0" collapsed="false">
      <c r="A73" s="15" t="s">
        <v>1663</v>
      </c>
      <c r="B73" s="15" t="n">
        <f aca="false">COUNTIF(Clients!$Q$2:$Q$261,$A73)</f>
        <v>41</v>
      </c>
      <c r="C73" s="16" t="n">
        <f aca="false">IFERROR(B73/$B$17,"")</f>
        <v>0.157692307692308</v>
      </c>
    </row>
    <row r="74" customFormat="false" ht="15" hidden="false" customHeight="false" outlineLevel="0" collapsed="false">
      <c r="A74" s="15" t="s">
        <v>1664</v>
      </c>
      <c r="B74" s="15" t="n">
        <f aca="false">COUNTIF(Clients!$Q$2:$Q$261,$A74)</f>
        <v>67</v>
      </c>
      <c r="C74" s="16" t="n">
        <f aca="false">IFERROR(B74/$B$17,"")</f>
        <v>0.257692307692308</v>
      </c>
    </row>
    <row r="75" customFormat="false" ht="15" hidden="false" customHeight="false" outlineLevel="0" collapsed="false">
      <c r="A75" s="15" t="s">
        <v>1665</v>
      </c>
      <c r="B75" s="15" t="n">
        <f aca="false">COUNTIF(Clients!$Q$2:$Q$261,$A75)</f>
        <v>9</v>
      </c>
      <c r="C75" s="16" t="n">
        <f aca="false">IFERROR(B75/$B$17,"")</f>
        <v>0.0346153846153846</v>
      </c>
    </row>
    <row r="76" customFormat="false" ht="15" hidden="false" customHeight="false" outlineLevel="0" collapsed="false">
      <c r="A76" s="15" t="s">
        <v>1666</v>
      </c>
      <c r="B76" s="15" t="n">
        <f aca="false">COUNTIF(Clients!$Q$2:$Q$261,$A76)</f>
        <v>9</v>
      </c>
      <c r="C76" s="16" t="n">
        <f aca="false">IFERROR(B76/$B$17,"")</f>
        <v>0.0346153846153846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2026-09-09T03:26:30Z</dcterms:created>
  <dc:creator>openpyxl</dc:creator>
  <dc:description/>
  <dc:language>en-US</dc:language>
  <cp:lastModifiedBy/>
  <dcterms:modified xsi:type="dcterms:W3CDTF">2026-09-09T03:26:31Z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